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" sheetId="2" state="visible" r:id="rId2"/>
    <sheet name="Checks" sheetId="3" state="visible" r:id="rId3"/>
    <sheet name="Power" sheetId="4" state="visible" r:id="rId4"/>
    <sheet name="Area" sheetId="5" state="visible" r:id="rId5"/>
    <sheet name="Deri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sz val="11"/>
    </font>
    <font>
      <name val="Arial"/>
      <b val="1"/>
      <color rgb="00C00000"/>
      <sz val="10"/>
    </font>
    <font>
      <name val="Arial"/>
      <color rgb="00000000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4" fillId="0" borderId="1" pivotButton="0" quotePrefix="0" xfId="0"/>
    <xf numFmtId="164" fontId="6" fillId="0" borderId="1" pivotButton="0" quotePrefix="0" xfId="0"/>
    <xf numFmtId="0" fontId="4" fillId="2" borderId="1" applyAlignment="1" pivotButton="0" quotePrefix="0" xfId="0">
      <alignment horizontal="center" wrapText="1"/>
    </xf>
    <xf numFmtId="0" fontId="7" fillId="4" borderId="1" pivotButton="0" quotePrefix="0" xfId="0"/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3" fontId="6" fillId="0" borderId="1" pivotButton="0" quotePrefix="0" xfId="0"/>
    <xf numFmtId="11" fontId="6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Illumination power at the sample plane — bench worksheet</t>
        </is>
      </c>
    </row>
    <row r="2">
      <c r="A2" s="2" t="inlineStr">
        <is>
          <t>Mirrors kb/calibrations/illumination-power.yaml. Fill the YELLOW cells only.</t>
        </is>
      </c>
    </row>
    <row r="3">
      <c r="A3" s="3" t="inlineStr"/>
    </row>
    <row r="4">
      <c r="A4" s="4" t="inlineStr">
        <is>
          <t>What this unblocks, and what it does not</t>
        </is>
      </c>
    </row>
    <row r="5">
      <c r="A5" s="3" t="inlineStr">
        <is>
          <t>power_at_sample_mw is {} for every line of every source today, so</t>
        </is>
      </c>
    </row>
    <row r="6">
      <c r="A6" s="3" t="inlineStr">
        <is>
          <t>optics.path.excitation_rate_per_s returns None and lens 5 is BLOCKED by design.</t>
        </is>
      </c>
    </row>
    <row r="7">
      <c r="A7" s="3" t="inlineStr"/>
    </row>
    <row r="8">
      <c r="A8" s="3" t="inlineStr">
        <is>
          <t>UNBLOCKED by this measurement:     G21 (light-driving) · G22 (total dose)</t>
        </is>
      </c>
    </row>
    <row r="9">
      <c r="A9" s="5" t="inlineStr">
        <is>
          <t>STILL BLOCKED afterwards:          G10 (photobleaching)</t>
        </is>
      </c>
    </row>
    <row r="10">
      <c r="A10" s="3" t="inlineStr">
        <is>
          <t>G10 needs bleach_photons, which is per dye and empty for every dye. A power meter</t>
        </is>
      </c>
    </row>
    <row r="11">
      <c r="A11" s="3" t="inlineStr">
        <is>
          <t>cannot supply it. Afterwards, say "G10 only" — not "lens 5 works now".</t>
        </is>
      </c>
    </row>
    <row r="12">
      <c r="A12" s="3" t="inlineStr"/>
    </row>
    <row r="13">
      <c r="A13" s="4" t="inlineStr">
        <is>
          <t>Two traps, both checked on the Checks tab before any mW is written</t>
        </is>
      </c>
    </row>
    <row r="14">
      <c r="A14" s="5" t="inlineStr">
        <is>
          <t>1.  The spot may be larger than the sensor.</t>
        </is>
      </c>
    </row>
    <row r="15">
      <c r="A15" s="3" t="inlineStr">
        <is>
          <t xml:space="preserve">     A head reads only what lands on its element. If the illuminated field at 4x</t>
        </is>
      </c>
    </row>
    <row r="16">
      <c r="A16" s="3" t="inlineStr">
        <is>
          <t xml:space="preserve">     overfills it, every 4x row is low by an unknown factor and nothing downstream</t>
        </is>
      </c>
    </row>
    <row r="17">
      <c r="A17" s="3" t="inlineStr">
        <is>
          <t xml:space="preserve">     can tell.</t>
        </is>
      </c>
    </row>
    <row r="18">
      <c r="A18" s="5" t="inlineStr">
        <is>
          <t>2.  A photodiode head is wavelength-calibrated.</t>
        </is>
      </c>
    </row>
    <row r="19">
      <c r="A19" s="3" t="inlineStr">
        <is>
          <t xml:space="preserve">     Reading 561 nm with the meter still set to 488 gives a plausible number that is</t>
        </is>
      </c>
    </row>
    <row r="20">
      <c r="A20" s="3" t="inlineStr">
        <is>
          <t xml:space="preserve">     wrong by the responsivity ratio. A thermal head does not care — record which.</t>
        </is>
      </c>
    </row>
    <row r="21">
      <c r="A21" s="3" t="inlineStr"/>
    </row>
    <row r="22">
      <c r="A22" s="4" t="inlineStr">
        <is>
          <t>Why 13 rows per line and not 144</t>
        </is>
      </c>
    </row>
    <row r="23">
      <c r="A23" s="3" t="inlineStr">
        <is>
          <t>For one monochromatic line, transmission of mirror x multiband x IR is exactly the</t>
        </is>
      </c>
    </row>
    <row r="24">
      <c r="A24" s="3" t="inlineStr">
        <is>
          <t>product of the three, so the 2x2x2 factorial is redundant. The cross-check rows test</t>
        </is>
      </c>
    </row>
    <row r="25">
      <c r="A25" s="3" t="inlineStr">
        <is>
          <t>that the product actually holds. If it does not, that is the more important result</t>
        </is>
      </c>
    </row>
    <row r="26">
      <c r="A26" s="3" t="inlineStr">
        <is>
          <t>and the reduction is void — the Derived tab computes the comparison for you.</t>
        </is>
      </c>
    </row>
    <row r="27">
      <c r="A27" s="3" t="inlineStr"/>
    </row>
    <row r="28">
      <c r="A28" s="3" t="inlineStr">
        <is>
          <t>Level linearity does NOT factor and must be swept: it decides linear_in_level in</t>
        </is>
      </c>
    </row>
    <row r="29">
      <c r="A29" s="3" t="inlineStr">
        <is>
          <t>data/light_sources.yaml, whose schema stores one mW at 100% assuming it holds.</t>
        </is>
      </c>
    </row>
    <row r="30">
      <c r="A30" s="3" t="inlineStr"/>
    </row>
    <row r="31">
      <c r="A31" s="4" t="inlineStr">
        <is>
          <t>The half a power meter does not give</t>
        </is>
      </c>
    </row>
    <row r="32">
      <c r="A32" s="3" t="inlineStr">
        <is>
          <t>optics.path.excitation_rate_per_s needs BOTH power_mw_at_sample AND</t>
        </is>
      </c>
    </row>
    <row r="33">
      <c r="A33" s="3" t="inlineStr">
        <is>
          <t>illuminated_area_um2; the gates consume the ratio, W/cm2. The magnification effect</t>
        </is>
      </c>
    </row>
    <row r="34">
      <c r="A34" s="3" t="inlineStr">
        <is>
          <t>lives mostly in the area term — the field diaphragm's image scales as 1/M, so area</t>
        </is>
      </c>
    </row>
    <row r="35">
      <c r="A35" s="3" t="inlineStr">
        <is>
          <t>goes as 1/M^2 and 4x to 20x is a factor of ~25, against a few percent of</t>
        </is>
      </c>
    </row>
    <row r="36">
      <c r="A36" s="3" t="inlineStr">
        <is>
          <t>transmission. Measuring power at three objectives without the Area tab measures the</t>
        </is>
      </c>
    </row>
    <row r="37">
      <c r="A37" s="3" t="inlineStr">
        <is>
          <t>small term three times.</t>
        </is>
      </c>
    </row>
    <row r="38">
      <c r="A38" s="3" t="inlineStr"/>
    </row>
    <row r="39">
      <c r="A39" s="4" t="inlineStr">
        <is>
          <t>The objective that is not on this sheet</t>
        </is>
      </c>
    </row>
    <row r="40">
      <c r="A40" s="5" t="inlineStr">
        <is>
          <t>The standing condition is 100x Oil, and 4x/10x/20x do not reach it.</t>
        </is>
      </c>
    </row>
    <row r="41">
      <c r="A41" s="3" t="inlineStr">
        <is>
          <t>Transmission does not extrapolate across objectives. If 100x is not measured,</t>
        </is>
      </c>
    </row>
    <row r="42">
      <c r="A42" s="3" t="inlineStr">
        <is>
          <t>power_at_sample_mw stays empty for the objective the real work uses, and lens 5</t>
        </is>
      </c>
    </row>
    <row r="43">
      <c r="A43" s="3" t="inlineStr">
        <is>
          <t>stays BLOCKED there. Measuring it means immersion oil between the front element and</t>
        </is>
      </c>
    </row>
    <row r="44">
      <c r="A44" s="3" t="inlineStr">
        <is>
          <t>the meter window; reading it dry gives a number, and a wrong one.</t>
        </is>
      </c>
    </row>
    <row r="45">
      <c r="A45" s="3" t="inlineStr">
        <is>
          <t>Decide: measured this session / deferred / out of scope. Any is fine; silence is not.</t>
        </is>
      </c>
    </row>
    <row r="46">
      <c r="A46" s="3" t="inlineStr"/>
    </row>
    <row r="47">
      <c r="A47" s="4" t="inlineStr">
        <is>
          <t>Where these numbers go afterwards</t>
        </is>
      </c>
    </row>
    <row r="48">
      <c r="A48" s="3" t="inlineStr">
        <is>
          <t>mW at 100%, per line per objective  -&gt;  data/light_sources.yaml  lines.&lt;line&gt;.power_at_sample_mw</t>
        </is>
      </c>
    </row>
    <row r="49">
      <c r="A49" s="3" t="inlineStr">
        <is>
          <t>whether the % sweep was linear      -&gt;  data/light_sources.yaml  lines.&lt;line&gt;.linear_in_level</t>
        </is>
      </c>
    </row>
    <row r="50">
      <c r="A50" s="3" t="inlineStr">
        <is>
          <t>element in/out ratios               -&gt;  a cross-check on lens 1's spectral model, not a new field</t>
        </is>
      </c>
    </row>
    <row r="51">
      <c r="A51" s="3" t="inlineStr">
        <is>
          <t>illuminated area                    -&gt;  the illuminated_area_um2 argument optics.path already takes</t>
        </is>
      </c>
    </row>
    <row r="52">
      <c r="A52" s="3" t="inlineStr"/>
    </row>
    <row r="53">
      <c r="A53" s="5" t="inlineStr">
        <is>
          <t>Do not fill a cell from a datasheet, a percentage, or another objective.</t>
        </is>
      </c>
    </row>
    <row r="54">
      <c r="A54" s="3" t="inlineStr">
        <is>
          <t>An empty cell is a valid result. A wrong one is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52" customWidth="1" min="3" max="3"/>
  </cols>
  <sheetData>
    <row r="1">
      <c r="A1" s="1" t="inlineStr">
        <is>
          <t>Provenance — a measurement without this is not re-usable</t>
        </is>
      </c>
    </row>
    <row r="2">
      <c r="A2" s="2" t="inlineStr">
        <is>
          <t>docs/02 §1: date and measurer are mandatory for anything in kb/calibrations/.</t>
        </is>
      </c>
    </row>
    <row r="4">
      <c r="A4" s="6" t="inlineStr">
        <is>
          <t>Field</t>
        </is>
      </c>
      <c r="B4" s="6" t="inlineStr">
        <is>
          <t>Value</t>
        </is>
      </c>
      <c r="C4" s="6" t="inlineStr">
        <is>
          <t>What it means</t>
        </is>
      </c>
    </row>
    <row r="5">
      <c r="A5" s="7" t="inlineStr">
        <is>
          <t>date</t>
        </is>
      </c>
      <c r="B5" s="8" t="n"/>
      <c r="C5" s="9" t="inlineStr">
        <is>
          <t>YYYY-MM-DD</t>
        </is>
      </c>
    </row>
    <row r="6">
      <c r="A6" s="7" t="inlineStr">
        <is>
          <t>measured_by</t>
        </is>
      </c>
      <c r="B6" s="8" t="n"/>
      <c r="C6" s="9" t="inlineStr">
        <is>
          <t>who was at the bench</t>
        </is>
      </c>
    </row>
    <row r="7">
      <c r="A7" s="7" t="inlineStr">
        <is>
          <t>meter_model</t>
        </is>
      </c>
      <c r="B7" s="8" t="n"/>
      <c r="C7" s="9" t="inlineStr"/>
    </row>
    <row r="8">
      <c r="A8" s="7" t="inlineStr">
        <is>
          <t>head_type</t>
        </is>
      </c>
      <c r="B8" s="8" t="n"/>
      <c r="C8" s="9" t="inlineStr">
        <is>
          <t>thermal | photodiode</t>
        </is>
      </c>
    </row>
    <row r="9">
      <c r="A9" s="7" t="inlineStr">
        <is>
          <t>head_wavelength_set</t>
        </is>
      </c>
      <c r="B9" s="8" t="n"/>
      <c r="C9" s="9" t="inlineStr">
        <is>
          <t>nm the meter was set to — note if changed per line</t>
        </is>
      </c>
    </row>
    <row r="10">
      <c r="A10" s="7" t="inlineStr">
        <is>
          <t>head_aperture_mm</t>
        </is>
      </c>
      <c r="B10" s="8" t="n"/>
      <c r="C10" s="9" t="inlineStr">
        <is>
          <t>sensor diameter (trap 1)</t>
        </is>
      </c>
    </row>
    <row r="11">
      <c r="A11" s="7" t="inlineStr">
        <is>
          <t>head_position</t>
        </is>
      </c>
      <c r="B11" s="8" t="n"/>
      <c r="C11" s="9" t="inlineStr">
        <is>
          <t>e.g. "on the stage, at the sample plane"</t>
        </is>
      </c>
    </row>
    <row r="12">
      <c r="A12" s="7" t="inlineStr">
        <is>
          <t>mm_config</t>
        </is>
      </c>
      <c r="B12" s="8" t="n"/>
      <c r="C12" s="9" t="inlineStr">
        <is>
          <t>which .cfg was loaded</t>
        </is>
      </c>
    </row>
    <row r="13">
      <c r="A13" s="7" t="inlineStr">
        <is>
          <t>room_light</t>
        </is>
      </c>
      <c r="B13" s="8" t="n"/>
      <c r="C13" s="9" t="inlineStr">
        <is>
          <t>on | off | shrouded</t>
        </is>
      </c>
    </row>
    <row r="14">
      <c r="A14" s="7" t="inlineStr">
        <is>
          <t>100x_oil_decision</t>
        </is>
      </c>
      <c r="B14" s="8" t="n"/>
      <c r="C14" s="9" t="inlineStr">
        <is>
          <t>measured | deferred | out of scope</t>
        </is>
      </c>
    </row>
    <row r="15">
      <c r="A15" s="7" t="inlineStr">
        <is>
          <t>notes</t>
        </is>
      </c>
      <c r="B15" s="8" t="n"/>
      <c r="C1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Pre-checks — these gate every row on the Power tab</t>
        </is>
      </c>
    </row>
    <row r="3">
      <c r="A3" s="4" t="inlineStr">
        <is>
          <t>1. Does the illuminated spot fit inside the sensor?</t>
        </is>
      </c>
    </row>
    <row r="4">
      <c r="A4" s="2" t="inlineStr">
        <is>
          <t>If FALSE for an objective, every mW at that objective is a LOWER BOUND, not a measurement.</t>
        </is>
      </c>
    </row>
    <row r="5">
      <c r="A5" s="6" t="inlineStr">
        <is>
          <t>Objective</t>
        </is>
      </c>
      <c r="B5" s="6" t="inlineStr">
        <is>
          <t>Fits? (TRUE/FALSE)</t>
        </is>
      </c>
    </row>
    <row r="6">
      <c r="A6" s="7" t="inlineStr">
        <is>
          <t>4x</t>
        </is>
      </c>
      <c r="B6" s="8" t="n"/>
    </row>
    <row r="7">
      <c r="A7" s="7" t="inlineStr">
        <is>
          <t>10x</t>
        </is>
      </c>
      <c r="B7" s="8" t="n"/>
    </row>
    <row r="8">
      <c r="A8" s="7" t="inlineStr">
        <is>
          <t>20x</t>
        </is>
      </c>
      <c r="B8" s="8" t="n"/>
    </row>
    <row r="10">
      <c r="A10" s="4" t="inlineStr">
        <is>
          <t>2. Is 0% the same as the shutter closed?</t>
        </is>
      </c>
    </row>
    <row r="11">
      <c r="A11" s="2" t="inlineStr">
        <is>
          <t>Any difference is leakage, and belongs in the record rather than in the noise.</t>
        </is>
      </c>
    </row>
    <row r="12">
      <c r="A12" s="6" t="inlineStr">
        <is>
          <t>Reading</t>
        </is>
      </c>
      <c r="B12" s="6" t="inlineStr">
        <is>
          <t>mW</t>
        </is>
      </c>
    </row>
    <row r="13">
      <c r="A13" s="7" t="inlineStr">
        <is>
          <t>at 0% level</t>
        </is>
      </c>
      <c r="B13" s="8" t="n"/>
    </row>
    <row r="14">
      <c r="A14" s="7" t="inlineStr">
        <is>
          <t>shutter closed</t>
        </is>
      </c>
      <c r="B14" s="8" t="n"/>
    </row>
    <row r="15">
      <c r="A15" s="10" t="inlineStr">
        <is>
          <t>difference (leakage)</t>
        </is>
      </c>
      <c r="B15" s="11">
        <f>IFERROR(B13-B14,"")</f>
        <v/>
      </c>
    </row>
    <row r="17">
      <c r="A17" s="4" t="inlineStr">
        <is>
          <t>3. Which state is the instrument's NORMAL running config?</t>
        </is>
      </c>
    </row>
    <row r="18">
      <c r="A18" s="2" t="inlineStr">
        <is>
          <t>Every ratio on the Derived tab is taken against it.</t>
        </is>
      </c>
    </row>
    <row r="19">
      <c r="A19" s="7" t="inlineStr">
        <is>
          <t>mirror</t>
        </is>
      </c>
      <c r="B19" s="8" t="n"/>
      <c r="C19" s="2" t="inlineStr">
        <is>
          <t>in | out</t>
        </is>
      </c>
    </row>
    <row r="20">
      <c r="A20" s="7" t="inlineStr">
        <is>
          <t>multiband</t>
        </is>
      </c>
      <c r="B20" s="8" t="n"/>
      <c r="C20" s="2" t="inlineStr">
        <is>
          <t>in | out</t>
        </is>
      </c>
    </row>
    <row r="21">
      <c r="A21" s="7" t="inlineStr">
        <is>
          <t>ir</t>
        </is>
      </c>
      <c r="B21" s="8" t="n"/>
      <c r="C21" s="2" t="inlineStr">
        <is>
          <t>in | out</t>
        </is>
      </c>
    </row>
    <row r="22">
      <c r="A22" s="7" t="inlineStr">
        <is>
          <t>objective</t>
        </is>
      </c>
      <c r="B22" s="8" t="n"/>
      <c r="C22" s="2" t="inlineStr">
        <is>
          <t>e.g. 20x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1" customWidth="1" min="5" max="5"/>
    <col width="9" customWidth="1" min="6" max="6"/>
    <col width="12" customWidth="1" min="7" max="7"/>
    <col width="7" customWidth="1" min="8" max="8"/>
    <col width="9" customWidth="1" min="9" max="9"/>
    <col width="11" customWidth="1" min="10" max="10"/>
    <col width="34" customWidth="1" min="11" max="11"/>
  </cols>
  <sheetData>
    <row r="1">
      <c r="A1" s="1" t="inlineStr">
        <is>
          <t>Power at the sample plane — 13 rows per line</t>
        </is>
      </c>
    </row>
    <row r="2">
      <c r="A2" s="2" t="inlineStr">
        <is>
          <t>Fill column J (mW) and, where useful, K. Everything else is the condition, already decided.</t>
        </is>
      </c>
    </row>
    <row r="3">
      <c r="A3" s="2" t="inlineStr">
        <is>
          <t>Blue row = the reference every ratio is taken against.  Grey row = worked example, do not fill.</t>
        </is>
      </c>
    </row>
    <row r="5">
      <c r="A5" s="12" t="inlineStr">
        <is>
          <t>Block</t>
        </is>
      </c>
      <c r="B5" s="12" t="inlineStr">
        <is>
          <t>Purpose</t>
        </is>
      </c>
      <c r="C5" s="12" t="inlineStr">
        <is>
          <t>Source</t>
        </is>
      </c>
      <c r="D5" s="12" t="inlineStr">
        <is>
          <t>Line (nm)</t>
        </is>
      </c>
      <c r="E5" s="12" t="inlineStr">
        <is>
          <t>Objective</t>
        </is>
      </c>
      <c r="F5" s="12" t="inlineStr">
        <is>
          <t>Mirror</t>
        </is>
      </c>
      <c r="G5" s="12" t="inlineStr">
        <is>
          <t>Multiband</t>
        </is>
      </c>
      <c r="H5" s="12" t="inlineStr">
        <is>
          <t>IR</t>
        </is>
      </c>
      <c r="I5" s="12" t="inlineStr">
        <is>
          <t>Level %</t>
        </is>
      </c>
      <c r="J5" s="12" t="inlineStr">
        <is>
          <t>mW</t>
        </is>
      </c>
      <c r="K5" s="12" t="inlineStr">
        <is>
          <t>Notes</t>
        </is>
      </c>
    </row>
    <row r="6">
      <c r="A6" s="13" t="inlineStr">
        <is>
          <t>(example)</t>
        </is>
      </c>
      <c r="B6" s="13" t="inlineStr">
        <is>
          <t>REFERENCE</t>
        </is>
      </c>
      <c r="C6" s="13" t="inlineStr">
        <is>
          <t>Aura</t>
        </is>
      </c>
      <c r="D6" s="13" t="n">
        <v>488</v>
      </c>
      <c r="E6" s="13" t="inlineStr">
        <is>
          <t>20x</t>
        </is>
      </c>
      <c r="F6" s="13" t="inlineStr">
        <is>
          <t>in</t>
        </is>
      </c>
      <c r="G6" s="13" t="inlineStr">
        <is>
          <t>in</t>
        </is>
      </c>
      <c r="H6" s="13" t="inlineStr">
        <is>
          <t>in</t>
        </is>
      </c>
      <c r="I6" s="13" t="n">
        <v>100</v>
      </c>
      <c r="J6" s="13" t="n">
        <v>1.234</v>
      </c>
      <c r="K6" s="13" t="inlineStr">
        <is>
          <t>head centred, room dark</t>
        </is>
      </c>
    </row>
    <row r="8">
      <c r="A8" s="14" t="inlineStr">
        <is>
          <t>Line 1</t>
        </is>
      </c>
      <c r="B8" s="14" t="inlineStr">
        <is>
          <t>linearity</t>
        </is>
      </c>
      <c r="C8" s="15" t="n"/>
      <c r="D8" s="15" t="n"/>
      <c r="E8" s="14" t="inlineStr">
        <is>
          <t>20x</t>
        </is>
      </c>
      <c r="F8" s="14" t="inlineStr">
        <is>
          <t>in</t>
        </is>
      </c>
      <c r="G8" s="14" t="inlineStr">
        <is>
          <t>in</t>
        </is>
      </c>
      <c r="H8" s="14" t="inlineStr">
        <is>
          <t>in</t>
        </is>
      </c>
      <c r="I8" s="14" t="n">
        <v>0</v>
      </c>
      <c r="J8" s="16" t="n"/>
      <c r="K8" s="17" t="n"/>
    </row>
    <row r="9">
      <c r="A9" s="14" t="inlineStr">
        <is>
          <t>Line 1</t>
        </is>
      </c>
      <c r="B9" s="14" t="inlineStr">
        <is>
          <t>linearity</t>
        </is>
      </c>
      <c r="C9" s="15" t="n"/>
      <c r="D9" s="15" t="n"/>
      <c r="E9" s="14" t="inlineStr">
        <is>
          <t>20x</t>
        </is>
      </c>
      <c r="F9" s="14" t="inlineStr">
        <is>
          <t>in</t>
        </is>
      </c>
      <c r="G9" s="14" t="inlineStr">
        <is>
          <t>in</t>
        </is>
      </c>
      <c r="H9" s="14" t="inlineStr">
        <is>
          <t>in</t>
        </is>
      </c>
      <c r="I9" s="14" t="n">
        <v>5</v>
      </c>
      <c r="J9" s="16" t="n"/>
      <c r="K9" s="17" t="n"/>
    </row>
    <row r="10">
      <c r="A10" s="14" t="inlineStr">
        <is>
          <t>Line 1</t>
        </is>
      </c>
      <c r="B10" s="14" t="inlineStr">
        <is>
          <t>linearity</t>
        </is>
      </c>
      <c r="C10" s="15" t="n"/>
      <c r="D10" s="15" t="n"/>
      <c r="E10" s="14" t="inlineStr">
        <is>
          <t>20x</t>
        </is>
      </c>
      <c r="F10" s="14" t="inlineStr">
        <is>
          <t>in</t>
        </is>
      </c>
      <c r="G10" s="14" t="inlineStr">
        <is>
          <t>in</t>
        </is>
      </c>
      <c r="H10" s="14" t="inlineStr">
        <is>
          <t>in</t>
        </is>
      </c>
      <c r="I10" s="14" t="n">
        <v>10</v>
      </c>
      <c r="J10" s="16" t="n"/>
      <c r="K10" s="17" t="n"/>
    </row>
    <row r="11">
      <c r="A11" s="14" t="inlineStr">
        <is>
          <t>Line 1</t>
        </is>
      </c>
      <c r="B11" s="14" t="inlineStr">
        <is>
          <t>linearity</t>
        </is>
      </c>
      <c r="C11" s="15" t="n"/>
      <c r="D11" s="15" t="n"/>
      <c r="E11" s="14" t="inlineStr">
        <is>
          <t>20x</t>
        </is>
      </c>
      <c r="F11" s="14" t="inlineStr">
        <is>
          <t>in</t>
        </is>
      </c>
      <c r="G11" s="14" t="inlineStr">
        <is>
          <t>in</t>
        </is>
      </c>
      <c r="H11" s="14" t="inlineStr">
        <is>
          <t>in</t>
        </is>
      </c>
      <c r="I11" s="14" t="n">
        <v>30</v>
      </c>
      <c r="J11" s="16" t="n"/>
      <c r="K11" s="17" t="n"/>
    </row>
    <row r="12">
      <c r="A12" s="14" t="inlineStr">
        <is>
          <t>Line 1</t>
        </is>
      </c>
      <c r="B12" s="14" t="inlineStr">
        <is>
          <t>linearity</t>
        </is>
      </c>
      <c r="C12" s="15" t="n"/>
      <c r="D12" s="15" t="n"/>
      <c r="E12" s="14" t="inlineStr">
        <is>
          <t>20x</t>
        </is>
      </c>
      <c r="F12" s="14" t="inlineStr">
        <is>
          <t>in</t>
        </is>
      </c>
      <c r="G12" s="14" t="inlineStr">
        <is>
          <t>in</t>
        </is>
      </c>
      <c r="H12" s="14" t="inlineStr">
        <is>
          <t>in</t>
        </is>
      </c>
      <c r="I12" s="14" t="n">
        <v>50</v>
      </c>
      <c r="J12" s="16" t="n"/>
      <c r="K12" s="17" t="n"/>
    </row>
    <row r="13">
      <c r="A13" s="18" t="inlineStr">
        <is>
          <t>Line 1</t>
        </is>
      </c>
      <c r="B13" s="18" t="inlineStr">
        <is>
          <t>REFERENCE</t>
        </is>
      </c>
      <c r="C13" s="15" t="n"/>
      <c r="D13" s="15" t="n"/>
      <c r="E13" s="18" t="inlineStr">
        <is>
          <t>20x</t>
        </is>
      </c>
      <c r="F13" s="18" t="inlineStr">
        <is>
          <t>in</t>
        </is>
      </c>
      <c r="G13" s="18" t="inlineStr">
        <is>
          <t>in</t>
        </is>
      </c>
      <c r="H13" s="18" t="inlineStr">
        <is>
          <t>in</t>
        </is>
      </c>
      <c r="I13" s="18" t="n">
        <v>100</v>
      </c>
      <c r="J13" s="16" t="n"/>
      <c r="K13" s="17" t="n"/>
    </row>
    <row r="14">
      <c r="A14" s="14" t="inlineStr">
        <is>
          <t>Line 1</t>
        </is>
      </c>
      <c r="B14" s="14" t="inlineStr">
        <is>
          <t>objective</t>
        </is>
      </c>
      <c r="C14" s="15" t="n"/>
      <c r="D14" s="15" t="n"/>
      <c r="E14" s="14" t="inlineStr">
        <is>
          <t>4x</t>
        </is>
      </c>
      <c r="F14" s="14" t="inlineStr">
        <is>
          <t>in</t>
        </is>
      </c>
      <c r="G14" s="14" t="inlineStr">
        <is>
          <t>in</t>
        </is>
      </c>
      <c r="H14" s="14" t="inlineStr">
        <is>
          <t>in</t>
        </is>
      </c>
      <c r="I14" s="14" t="n">
        <v>100</v>
      </c>
      <c r="J14" s="16" t="n"/>
      <c r="K14" s="17" t="n"/>
    </row>
    <row r="15">
      <c r="A15" s="14" t="inlineStr">
        <is>
          <t>Line 1</t>
        </is>
      </c>
      <c r="B15" s="14" t="inlineStr">
        <is>
          <t>objective</t>
        </is>
      </c>
      <c r="C15" s="15" t="n"/>
      <c r="D15" s="15" t="n"/>
      <c r="E15" s="14" t="inlineStr">
        <is>
          <t>10x</t>
        </is>
      </c>
      <c r="F15" s="14" t="inlineStr">
        <is>
          <t>in</t>
        </is>
      </c>
      <c r="G15" s="14" t="inlineStr">
        <is>
          <t>in</t>
        </is>
      </c>
      <c r="H15" s="14" t="inlineStr">
        <is>
          <t>in</t>
        </is>
      </c>
      <c r="I15" s="14" t="n">
        <v>100</v>
      </c>
      <c r="J15" s="16" t="n"/>
      <c r="K15" s="17" t="n"/>
    </row>
    <row r="16">
      <c r="A16" s="14" t="inlineStr">
        <is>
          <t>Line 1</t>
        </is>
      </c>
      <c r="B16" s="14" t="inlineStr">
        <is>
          <t>element</t>
        </is>
      </c>
      <c r="C16" s="15" t="n"/>
      <c r="D16" s="15" t="n"/>
      <c r="E16" s="14" t="inlineStr">
        <is>
          <t>20x</t>
        </is>
      </c>
      <c r="F16" s="14" t="inlineStr">
        <is>
          <t>out</t>
        </is>
      </c>
      <c r="G16" s="14" t="inlineStr">
        <is>
          <t>in</t>
        </is>
      </c>
      <c r="H16" s="14" t="inlineStr">
        <is>
          <t>in</t>
        </is>
      </c>
      <c r="I16" s="14" t="n">
        <v>100</v>
      </c>
      <c r="J16" s="16" t="n"/>
      <c r="K16" s="17" t="n"/>
    </row>
    <row r="17">
      <c r="A17" s="14" t="inlineStr">
        <is>
          <t>Line 1</t>
        </is>
      </c>
      <c r="B17" s="14" t="inlineStr">
        <is>
          <t>element</t>
        </is>
      </c>
      <c r="C17" s="15" t="n"/>
      <c r="D17" s="15" t="n"/>
      <c r="E17" s="14" t="inlineStr">
        <is>
          <t>20x</t>
        </is>
      </c>
      <c r="F17" s="14" t="inlineStr">
        <is>
          <t>in</t>
        </is>
      </c>
      <c r="G17" s="14" t="inlineStr">
        <is>
          <t>out</t>
        </is>
      </c>
      <c r="H17" s="14" t="inlineStr">
        <is>
          <t>in</t>
        </is>
      </c>
      <c r="I17" s="14" t="n">
        <v>100</v>
      </c>
      <c r="J17" s="16" t="n"/>
      <c r="K17" s="17" t="n"/>
    </row>
    <row r="18">
      <c r="A18" s="14" t="inlineStr">
        <is>
          <t>Line 1</t>
        </is>
      </c>
      <c r="B18" s="14" t="inlineStr">
        <is>
          <t>element</t>
        </is>
      </c>
      <c r="C18" s="15" t="n"/>
      <c r="D18" s="15" t="n"/>
      <c r="E18" s="14" t="inlineStr">
        <is>
          <t>20x</t>
        </is>
      </c>
      <c r="F18" s="14" t="inlineStr">
        <is>
          <t>in</t>
        </is>
      </c>
      <c r="G18" s="14" t="inlineStr">
        <is>
          <t>in</t>
        </is>
      </c>
      <c r="H18" s="14" t="inlineStr">
        <is>
          <t>out</t>
        </is>
      </c>
      <c r="I18" s="14" t="n">
        <v>100</v>
      </c>
      <c r="J18" s="16" t="n"/>
      <c r="K18" s="17" t="n"/>
    </row>
    <row r="19">
      <c r="A19" s="14" t="inlineStr">
        <is>
          <t>Line 1</t>
        </is>
      </c>
      <c r="B19" s="14" t="inlineStr">
        <is>
          <t>cross-check</t>
        </is>
      </c>
      <c r="C19" s="15" t="n"/>
      <c r="D19" s="15" t="n"/>
      <c r="E19" s="14" t="inlineStr">
        <is>
          <t>20x</t>
        </is>
      </c>
      <c r="F19" s="14" t="inlineStr">
        <is>
          <t>out</t>
        </is>
      </c>
      <c r="G19" s="14" t="inlineStr">
        <is>
          <t>out</t>
        </is>
      </c>
      <c r="H19" s="14" t="inlineStr">
        <is>
          <t>in</t>
        </is>
      </c>
      <c r="I19" s="14" t="n">
        <v>100</v>
      </c>
      <c r="J19" s="16" t="n"/>
      <c r="K19" s="17" t="n"/>
    </row>
    <row r="20">
      <c r="A20" s="14" t="inlineStr">
        <is>
          <t>Line 1</t>
        </is>
      </c>
      <c r="B20" s="14" t="inlineStr">
        <is>
          <t>cross-check</t>
        </is>
      </c>
      <c r="C20" s="15" t="n"/>
      <c r="D20" s="15" t="n"/>
      <c r="E20" s="14" t="inlineStr">
        <is>
          <t>20x</t>
        </is>
      </c>
      <c r="F20" s="14" t="inlineStr">
        <is>
          <t>out</t>
        </is>
      </c>
      <c r="G20" s="14" t="inlineStr">
        <is>
          <t>out</t>
        </is>
      </c>
      <c r="H20" s="14" t="inlineStr">
        <is>
          <t>out</t>
        </is>
      </c>
      <c r="I20" s="14" t="n">
        <v>100</v>
      </c>
      <c r="J20" s="16" t="n"/>
      <c r="K20" s="17" t="n"/>
    </row>
    <row r="22">
      <c r="A22" s="14" t="inlineStr">
        <is>
          <t>Line 2</t>
        </is>
      </c>
      <c r="B22" s="14" t="inlineStr">
        <is>
          <t>linearity</t>
        </is>
      </c>
      <c r="C22" s="15" t="n"/>
      <c r="D22" s="15" t="n"/>
      <c r="E22" s="14" t="inlineStr">
        <is>
          <t>20x</t>
        </is>
      </c>
      <c r="F22" s="14" t="inlineStr">
        <is>
          <t>in</t>
        </is>
      </c>
      <c r="G22" s="14" t="inlineStr">
        <is>
          <t>in</t>
        </is>
      </c>
      <c r="H22" s="14" t="inlineStr">
        <is>
          <t>in</t>
        </is>
      </c>
      <c r="I22" s="14" t="n">
        <v>0</v>
      </c>
      <c r="J22" s="16" t="n"/>
      <c r="K22" s="17" t="n"/>
    </row>
    <row r="23">
      <c r="A23" s="14" t="inlineStr">
        <is>
          <t>Line 2</t>
        </is>
      </c>
      <c r="B23" s="14" t="inlineStr">
        <is>
          <t>linearity</t>
        </is>
      </c>
      <c r="C23" s="15" t="n"/>
      <c r="D23" s="15" t="n"/>
      <c r="E23" s="14" t="inlineStr">
        <is>
          <t>20x</t>
        </is>
      </c>
      <c r="F23" s="14" t="inlineStr">
        <is>
          <t>in</t>
        </is>
      </c>
      <c r="G23" s="14" t="inlineStr">
        <is>
          <t>in</t>
        </is>
      </c>
      <c r="H23" s="14" t="inlineStr">
        <is>
          <t>in</t>
        </is>
      </c>
      <c r="I23" s="14" t="n">
        <v>5</v>
      </c>
      <c r="J23" s="16" t="n"/>
      <c r="K23" s="17" t="n"/>
    </row>
    <row r="24">
      <c r="A24" s="14" t="inlineStr">
        <is>
          <t>Line 2</t>
        </is>
      </c>
      <c r="B24" s="14" t="inlineStr">
        <is>
          <t>linearity</t>
        </is>
      </c>
      <c r="C24" s="15" t="n"/>
      <c r="D24" s="15" t="n"/>
      <c r="E24" s="14" t="inlineStr">
        <is>
          <t>20x</t>
        </is>
      </c>
      <c r="F24" s="14" t="inlineStr">
        <is>
          <t>in</t>
        </is>
      </c>
      <c r="G24" s="14" t="inlineStr">
        <is>
          <t>in</t>
        </is>
      </c>
      <c r="H24" s="14" t="inlineStr">
        <is>
          <t>in</t>
        </is>
      </c>
      <c r="I24" s="14" t="n">
        <v>10</v>
      </c>
      <c r="J24" s="16" t="n"/>
      <c r="K24" s="17" t="n"/>
    </row>
    <row r="25">
      <c r="A25" s="14" t="inlineStr">
        <is>
          <t>Line 2</t>
        </is>
      </c>
      <c r="B25" s="14" t="inlineStr">
        <is>
          <t>linearity</t>
        </is>
      </c>
      <c r="C25" s="15" t="n"/>
      <c r="D25" s="15" t="n"/>
      <c r="E25" s="14" t="inlineStr">
        <is>
          <t>20x</t>
        </is>
      </c>
      <c r="F25" s="14" t="inlineStr">
        <is>
          <t>in</t>
        </is>
      </c>
      <c r="G25" s="14" t="inlineStr">
        <is>
          <t>in</t>
        </is>
      </c>
      <c r="H25" s="14" t="inlineStr">
        <is>
          <t>in</t>
        </is>
      </c>
      <c r="I25" s="14" t="n">
        <v>30</v>
      </c>
      <c r="J25" s="16" t="n"/>
      <c r="K25" s="17" t="n"/>
    </row>
    <row r="26">
      <c r="A26" s="14" t="inlineStr">
        <is>
          <t>Line 2</t>
        </is>
      </c>
      <c r="B26" s="14" t="inlineStr">
        <is>
          <t>linearity</t>
        </is>
      </c>
      <c r="C26" s="15" t="n"/>
      <c r="D26" s="15" t="n"/>
      <c r="E26" s="14" t="inlineStr">
        <is>
          <t>20x</t>
        </is>
      </c>
      <c r="F26" s="14" t="inlineStr">
        <is>
          <t>in</t>
        </is>
      </c>
      <c r="G26" s="14" t="inlineStr">
        <is>
          <t>in</t>
        </is>
      </c>
      <c r="H26" s="14" t="inlineStr">
        <is>
          <t>in</t>
        </is>
      </c>
      <c r="I26" s="14" t="n">
        <v>50</v>
      </c>
      <c r="J26" s="16" t="n"/>
      <c r="K26" s="17" t="n"/>
    </row>
    <row r="27">
      <c r="A27" s="18" t="inlineStr">
        <is>
          <t>Line 2</t>
        </is>
      </c>
      <c r="B27" s="18" t="inlineStr">
        <is>
          <t>REFERENCE</t>
        </is>
      </c>
      <c r="C27" s="15" t="n"/>
      <c r="D27" s="15" t="n"/>
      <c r="E27" s="18" t="inlineStr">
        <is>
          <t>20x</t>
        </is>
      </c>
      <c r="F27" s="18" t="inlineStr">
        <is>
          <t>in</t>
        </is>
      </c>
      <c r="G27" s="18" t="inlineStr">
        <is>
          <t>in</t>
        </is>
      </c>
      <c r="H27" s="18" t="inlineStr">
        <is>
          <t>in</t>
        </is>
      </c>
      <c r="I27" s="18" t="n">
        <v>100</v>
      </c>
      <c r="J27" s="16" t="n"/>
      <c r="K27" s="17" t="n"/>
    </row>
    <row r="28">
      <c r="A28" s="14" t="inlineStr">
        <is>
          <t>Line 2</t>
        </is>
      </c>
      <c r="B28" s="14" t="inlineStr">
        <is>
          <t>objective</t>
        </is>
      </c>
      <c r="C28" s="15" t="n"/>
      <c r="D28" s="15" t="n"/>
      <c r="E28" s="14" t="inlineStr">
        <is>
          <t>4x</t>
        </is>
      </c>
      <c r="F28" s="14" t="inlineStr">
        <is>
          <t>in</t>
        </is>
      </c>
      <c r="G28" s="14" t="inlineStr">
        <is>
          <t>in</t>
        </is>
      </c>
      <c r="H28" s="14" t="inlineStr">
        <is>
          <t>in</t>
        </is>
      </c>
      <c r="I28" s="14" t="n">
        <v>100</v>
      </c>
      <c r="J28" s="16" t="n"/>
      <c r="K28" s="17" t="n"/>
    </row>
    <row r="29">
      <c r="A29" s="14" t="inlineStr">
        <is>
          <t>Line 2</t>
        </is>
      </c>
      <c r="B29" s="14" t="inlineStr">
        <is>
          <t>objective</t>
        </is>
      </c>
      <c r="C29" s="15" t="n"/>
      <c r="D29" s="15" t="n"/>
      <c r="E29" s="14" t="inlineStr">
        <is>
          <t>10x</t>
        </is>
      </c>
      <c r="F29" s="14" t="inlineStr">
        <is>
          <t>in</t>
        </is>
      </c>
      <c r="G29" s="14" t="inlineStr">
        <is>
          <t>in</t>
        </is>
      </c>
      <c r="H29" s="14" t="inlineStr">
        <is>
          <t>in</t>
        </is>
      </c>
      <c r="I29" s="14" t="n">
        <v>100</v>
      </c>
      <c r="J29" s="16" t="n"/>
      <c r="K29" s="17" t="n"/>
    </row>
    <row r="30">
      <c r="A30" s="14" t="inlineStr">
        <is>
          <t>Line 2</t>
        </is>
      </c>
      <c r="B30" s="14" t="inlineStr">
        <is>
          <t>element</t>
        </is>
      </c>
      <c r="C30" s="15" t="n"/>
      <c r="D30" s="15" t="n"/>
      <c r="E30" s="14" t="inlineStr">
        <is>
          <t>20x</t>
        </is>
      </c>
      <c r="F30" s="14" t="inlineStr">
        <is>
          <t>out</t>
        </is>
      </c>
      <c r="G30" s="14" t="inlineStr">
        <is>
          <t>in</t>
        </is>
      </c>
      <c r="H30" s="14" t="inlineStr">
        <is>
          <t>in</t>
        </is>
      </c>
      <c r="I30" s="14" t="n">
        <v>100</v>
      </c>
      <c r="J30" s="16" t="n"/>
      <c r="K30" s="17" t="n"/>
    </row>
    <row r="31">
      <c r="A31" s="14" t="inlineStr">
        <is>
          <t>Line 2</t>
        </is>
      </c>
      <c r="B31" s="14" t="inlineStr">
        <is>
          <t>element</t>
        </is>
      </c>
      <c r="C31" s="15" t="n"/>
      <c r="D31" s="15" t="n"/>
      <c r="E31" s="14" t="inlineStr">
        <is>
          <t>20x</t>
        </is>
      </c>
      <c r="F31" s="14" t="inlineStr">
        <is>
          <t>in</t>
        </is>
      </c>
      <c r="G31" s="14" t="inlineStr">
        <is>
          <t>out</t>
        </is>
      </c>
      <c r="H31" s="14" t="inlineStr">
        <is>
          <t>in</t>
        </is>
      </c>
      <c r="I31" s="14" t="n">
        <v>100</v>
      </c>
      <c r="J31" s="16" t="n"/>
      <c r="K31" s="17" t="n"/>
    </row>
    <row r="32">
      <c r="A32" s="14" t="inlineStr">
        <is>
          <t>Line 2</t>
        </is>
      </c>
      <c r="B32" s="14" t="inlineStr">
        <is>
          <t>element</t>
        </is>
      </c>
      <c r="C32" s="15" t="n"/>
      <c r="D32" s="15" t="n"/>
      <c r="E32" s="14" t="inlineStr">
        <is>
          <t>20x</t>
        </is>
      </c>
      <c r="F32" s="14" t="inlineStr">
        <is>
          <t>in</t>
        </is>
      </c>
      <c r="G32" s="14" t="inlineStr">
        <is>
          <t>in</t>
        </is>
      </c>
      <c r="H32" s="14" t="inlineStr">
        <is>
          <t>out</t>
        </is>
      </c>
      <c r="I32" s="14" t="n">
        <v>100</v>
      </c>
      <c r="J32" s="16" t="n"/>
      <c r="K32" s="17" t="n"/>
    </row>
    <row r="33">
      <c r="A33" s="14" t="inlineStr">
        <is>
          <t>Line 2</t>
        </is>
      </c>
      <c r="B33" s="14" t="inlineStr">
        <is>
          <t>cross-check</t>
        </is>
      </c>
      <c r="C33" s="15" t="n"/>
      <c r="D33" s="15" t="n"/>
      <c r="E33" s="14" t="inlineStr">
        <is>
          <t>20x</t>
        </is>
      </c>
      <c r="F33" s="14" t="inlineStr">
        <is>
          <t>out</t>
        </is>
      </c>
      <c r="G33" s="14" t="inlineStr">
        <is>
          <t>out</t>
        </is>
      </c>
      <c r="H33" s="14" t="inlineStr">
        <is>
          <t>in</t>
        </is>
      </c>
      <c r="I33" s="14" t="n">
        <v>100</v>
      </c>
      <c r="J33" s="16" t="n"/>
      <c r="K33" s="17" t="n"/>
    </row>
    <row r="34">
      <c r="A34" s="14" t="inlineStr">
        <is>
          <t>Line 2</t>
        </is>
      </c>
      <c r="B34" s="14" t="inlineStr">
        <is>
          <t>cross-check</t>
        </is>
      </c>
      <c r="C34" s="15" t="n"/>
      <c r="D34" s="15" t="n"/>
      <c r="E34" s="14" t="inlineStr">
        <is>
          <t>20x</t>
        </is>
      </c>
      <c r="F34" s="14" t="inlineStr">
        <is>
          <t>out</t>
        </is>
      </c>
      <c r="G34" s="14" t="inlineStr">
        <is>
          <t>out</t>
        </is>
      </c>
      <c r="H34" s="14" t="inlineStr">
        <is>
          <t>out</t>
        </is>
      </c>
      <c r="I34" s="14" t="n">
        <v>100</v>
      </c>
      <c r="J34" s="16" t="n"/>
      <c r="K34" s="17" t="n"/>
    </row>
    <row r="36">
      <c r="A36" s="14" t="inlineStr">
        <is>
          <t>Line 3</t>
        </is>
      </c>
      <c r="B36" s="14" t="inlineStr">
        <is>
          <t>linearity</t>
        </is>
      </c>
      <c r="C36" s="15" t="n"/>
      <c r="D36" s="15" t="n"/>
      <c r="E36" s="14" t="inlineStr">
        <is>
          <t>20x</t>
        </is>
      </c>
      <c r="F36" s="14" t="inlineStr">
        <is>
          <t>in</t>
        </is>
      </c>
      <c r="G36" s="14" t="inlineStr">
        <is>
          <t>in</t>
        </is>
      </c>
      <c r="H36" s="14" t="inlineStr">
        <is>
          <t>in</t>
        </is>
      </c>
      <c r="I36" s="14" t="n">
        <v>0</v>
      </c>
      <c r="J36" s="16" t="n"/>
      <c r="K36" s="17" t="n"/>
    </row>
    <row r="37">
      <c r="A37" s="14" t="inlineStr">
        <is>
          <t>Line 3</t>
        </is>
      </c>
      <c r="B37" s="14" t="inlineStr">
        <is>
          <t>linearity</t>
        </is>
      </c>
      <c r="C37" s="15" t="n"/>
      <c r="D37" s="15" t="n"/>
      <c r="E37" s="14" t="inlineStr">
        <is>
          <t>20x</t>
        </is>
      </c>
      <c r="F37" s="14" t="inlineStr">
        <is>
          <t>in</t>
        </is>
      </c>
      <c r="G37" s="14" t="inlineStr">
        <is>
          <t>in</t>
        </is>
      </c>
      <c r="H37" s="14" t="inlineStr">
        <is>
          <t>in</t>
        </is>
      </c>
      <c r="I37" s="14" t="n">
        <v>5</v>
      </c>
      <c r="J37" s="16" t="n"/>
      <c r="K37" s="17" t="n"/>
    </row>
    <row r="38">
      <c r="A38" s="14" t="inlineStr">
        <is>
          <t>Line 3</t>
        </is>
      </c>
      <c r="B38" s="14" t="inlineStr">
        <is>
          <t>linearity</t>
        </is>
      </c>
      <c r="C38" s="15" t="n"/>
      <c r="D38" s="15" t="n"/>
      <c r="E38" s="14" t="inlineStr">
        <is>
          <t>20x</t>
        </is>
      </c>
      <c r="F38" s="14" t="inlineStr">
        <is>
          <t>in</t>
        </is>
      </c>
      <c r="G38" s="14" t="inlineStr">
        <is>
          <t>in</t>
        </is>
      </c>
      <c r="H38" s="14" t="inlineStr">
        <is>
          <t>in</t>
        </is>
      </c>
      <c r="I38" s="14" t="n">
        <v>10</v>
      </c>
      <c r="J38" s="16" t="n"/>
      <c r="K38" s="17" t="n"/>
    </row>
    <row r="39">
      <c r="A39" s="14" t="inlineStr">
        <is>
          <t>Line 3</t>
        </is>
      </c>
      <c r="B39" s="14" t="inlineStr">
        <is>
          <t>linearity</t>
        </is>
      </c>
      <c r="C39" s="15" t="n"/>
      <c r="D39" s="15" t="n"/>
      <c r="E39" s="14" t="inlineStr">
        <is>
          <t>20x</t>
        </is>
      </c>
      <c r="F39" s="14" t="inlineStr">
        <is>
          <t>in</t>
        </is>
      </c>
      <c r="G39" s="14" t="inlineStr">
        <is>
          <t>in</t>
        </is>
      </c>
      <c r="H39" s="14" t="inlineStr">
        <is>
          <t>in</t>
        </is>
      </c>
      <c r="I39" s="14" t="n">
        <v>30</v>
      </c>
      <c r="J39" s="16" t="n"/>
      <c r="K39" s="17" t="n"/>
    </row>
    <row r="40">
      <c r="A40" s="14" t="inlineStr">
        <is>
          <t>Line 3</t>
        </is>
      </c>
      <c r="B40" s="14" t="inlineStr">
        <is>
          <t>linearity</t>
        </is>
      </c>
      <c r="C40" s="15" t="n"/>
      <c r="D40" s="15" t="n"/>
      <c r="E40" s="14" t="inlineStr">
        <is>
          <t>20x</t>
        </is>
      </c>
      <c r="F40" s="14" t="inlineStr">
        <is>
          <t>in</t>
        </is>
      </c>
      <c r="G40" s="14" t="inlineStr">
        <is>
          <t>in</t>
        </is>
      </c>
      <c r="H40" s="14" t="inlineStr">
        <is>
          <t>in</t>
        </is>
      </c>
      <c r="I40" s="14" t="n">
        <v>50</v>
      </c>
      <c r="J40" s="16" t="n"/>
      <c r="K40" s="17" t="n"/>
    </row>
    <row r="41">
      <c r="A41" s="18" t="inlineStr">
        <is>
          <t>Line 3</t>
        </is>
      </c>
      <c r="B41" s="18" t="inlineStr">
        <is>
          <t>REFERENCE</t>
        </is>
      </c>
      <c r="C41" s="15" t="n"/>
      <c r="D41" s="15" t="n"/>
      <c r="E41" s="18" t="inlineStr">
        <is>
          <t>20x</t>
        </is>
      </c>
      <c r="F41" s="18" t="inlineStr">
        <is>
          <t>in</t>
        </is>
      </c>
      <c r="G41" s="18" t="inlineStr">
        <is>
          <t>in</t>
        </is>
      </c>
      <c r="H41" s="18" t="inlineStr">
        <is>
          <t>in</t>
        </is>
      </c>
      <c r="I41" s="18" t="n">
        <v>100</v>
      </c>
      <c r="J41" s="16" t="n"/>
      <c r="K41" s="17" t="n"/>
    </row>
    <row r="42">
      <c r="A42" s="14" t="inlineStr">
        <is>
          <t>Line 3</t>
        </is>
      </c>
      <c r="B42" s="14" t="inlineStr">
        <is>
          <t>objective</t>
        </is>
      </c>
      <c r="C42" s="15" t="n"/>
      <c r="D42" s="15" t="n"/>
      <c r="E42" s="14" t="inlineStr">
        <is>
          <t>4x</t>
        </is>
      </c>
      <c r="F42" s="14" t="inlineStr">
        <is>
          <t>in</t>
        </is>
      </c>
      <c r="G42" s="14" t="inlineStr">
        <is>
          <t>in</t>
        </is>
      </c>
      <c r="H42" s="14" t="inlineStr">
        <is>
          <t>in</t>
        </is>
      </c>
      <c r="I42" s="14" t="n">
        <v>100</v>
      </c>
      <c r="J42" s="16" t="n"/>
      <c r="K42" s="17" t="n"/>
    </row>
    <row r="43">
      <c r="A43" s="14" t="inlineStr">
        <is>
          <t>Line 3</t>
        </is>
      </c>
      <c r="B43" s="14" t="inlineStr">
        <is>
          <t>objective</t>
        </is>
      </c>
      <c r="C43" s="15" t="n"/>
      <c r="D43" s="15" t="n"/>
      <c r="E43" s="14" t="inlineStr">
        <is>
          <t>10x</t>
        </is>
      </c>
      <c r="F43" s="14" t="inlineStr">
        <is>
          <t>in</t>
        </is>
      </c>
      <c r="G43" s="14" t="inlineStr">
        <is>
          <t>in</t>
        </is>
      </c>
      <c r="H43" s="14" t="inlineStr">
        <is>
          <t>in</t>
        </is>
      </c>
      <c r="I43" s="14" t="n">
        <v>100</v>
      </c>
      <c r="J43" s="16" t="n"/>
      <c r="K43" s="17" t="n"/>
    </row>
    <row r="44">
      <c r="A44" s="14" t="inlineStr">
        <is>
          <t>Line 3</t>
        </is>
      </c>
      <c r="B44" s="14" t="inlineStr">
        <is>
          <t>element</t>
        </is>
      </c>
      <c r="C44" s="15" t="n"/>
      <c r="D44" s="15" t="n"/>
      <c r="E44" s="14" t="inlineStr">
        <is>
          <t>20x</t>
        </is>
      </c>
      <c r="F44" s="14" t="inlineStr">
        <is>
          <t>out</t>
        </is>
      </c>
      <c r="G44" s="14" t="inlineStr">
        <is>
          <t>in</t>
        </is>
      </c>
      <c r="H44" s="14" t="inlineStr">
        <is>
          <t>in</t>
        </is>
      </c>
      <c r="I44" s="14" t="n">
        <v>100</v>
      </c>
      <c r="J44" s="16" t="n"/>
      <c r="K44" s="17" t="n"/>
    </row>
    <row r="45">
      <c r="A45" s="14" t="inlineStr">
        <is>
          <t>Line 3</t>
        </is>
      </c>
      <c r="B45" s="14" t="inlineStr">
        <is>
          <t>element</t>
        </is>
      </c>
      <c r="C45" s="15" t="n"/>
      <c r="D45" s="15" t="n"/>
      <c r="E45" s="14" t="inlineStr">
        <is>
          <t>20x</t>
        </is>
      </c>
      <c r="F45" s="14" t="inlineStr">
        <is>
          <t>in</t>
        </is>
      </c>
      <c r="G45" s="14" t="inlineStr">
        <is>
          <t>out</t>
        </is>
      </c>
      <c r="H45" s="14" t="inlineStr">
        <is>
          <t>in</t>
        </is>
      </c>
      <c r="I45" s="14" t="n">
        <v>100</v>
      </c>
      <c r="J45" s="16" t="n"/>
      <c r="K45" s="17" t="n"/>
    </row>
    <row r="46">
      <c r="A46" s="14" t="inlineStr">
        <is>
          <t>Line 3</t>
        </is>
      </c>
      <c r="B46" s="14" t="inlineStr">
        <is>
          <t>element</t>
        </is>
      </c>
      <c r="C46" s="15" t="n"/>
      <c r="D46" s="15" t="n"/>
      <c r="E46" s="14" t="inlineStr">
        <is>
          <t>20x</t>
        </is>
      </c>
      <c r="F46" s="14" t="inlineStr">
        <is>
          <t>in</t>
        </is>
      </c>
      <c r="G46" s="14" t="inlineStr">
        <is>
          <t>in</t>
        </is>
      </c>
      <c r="H46" s="14" t="inlineStr">
        <is>
          <t>out</t>
        </is>
      </c>
      <c r="I46" s="14" t="n">
        <v>100</v>
      </c>
      <c r="J46" s="16" t="n"/>
      <c r="K46" s="17" t="n"/>
    </row>
    <row r="47">
      <c r="A47" s="14" t="inlineStr">
        <is>
          <t>Line 3</t>
        </is>
      </c>
      <c r="B47" s="14" t="inlineStr">
        <is>
          <t>cross-check</t>
        </is>
      </c>
      <c r="C47" s="15" t="n"/>
      <c r="D47" s="15" t="n"/>
      <c r="E47" s="14" t="inlineStr">
        <is>
          <t>20x</t>
        </is>
      </c>
      <c r="F47" s="14" t="inlineStr">
        <is>
          <t>out</t>
        </is>
      </c>
      <c r="G47" s="14" t="inlineStr">
        <is>
          <t>out</t>
        </is>
      </c>
      <c r="H47" s="14" t="inlineStr">
        <is>
          <t>in</t>
        </is>
      </c>
      <c r="I47" s="14" t="n">
        <v>100</v>
      </c>
      <c r="J47" s="16" t="n"/>
      <c r="K47" s="17" t="n"/>
    </row>
    <row r="48">
      <c r="A48" s="14" t="inlineStr">
        <is>
          <t>Line 3</t>
        </is>
      </c>
      <c r="B48" s="14" t="inlineStr">
        <is>
          <t>cross-check</t>
        </is>
      </c>
      <c r="C48" s="15" t="n"/>
      <c r="D48" s="15" t="n"/>
      <c r="E48" s="14" t="inlineStr">
        <is>
          <t>20x</t>
        </is>
      </c>
      <c r="F48" s="14" t="inlineStr">
        <is>
          <t>out</t>
        </is>
      </c>
      <c r="G48" s="14" t="inlineStr">
        <is>
          <t>out</t>
        </is>
      </c>
      <c r="H48" s="14" t="inlineStr">
        <is>
          <t>out</t>
        </is>
      </c>
      <c r="I48" s="14" t="n">
        <v>100</v>
      </c>
      <c r="J48" s="16" t="n"/>
      <c r="K48" s="17" t="n"/>
    </row>
    <row r="50">
      <c r="A50" s="14" t="inlineStr">
        <is>
          <t>Line 4</t>
        </is>
      </c>
      <c r="B50" s="14" t="inlineStr">
        <is>
          <t>linearity</t>
        </is>
      </c>
      <c r="C50" s="15" t="n"/>
      <c r="D50" s="15" t="n"/>
      <c r="E50" s="14" t="inlineStr">
        <is>
          <t>20x</t>
        </is>
      </c>
      <c r="F50" s="14" t="inlineStr">
        <is>
          <t>in</t>
        </is>
      </c>
      <c r="G50" s="14" t="inlineStr">
        <is>
          <t>in</t>
        </is>
      </c>
      <c r="H50" s="14" t="inlineStr">
        <is>
          <t>in</t>
        </is>
      </c>
      <c r="I50" s="14" t="n">
        <v>0</v>
      </c>
      <c r="J50" s="16" t="n"/>
      <c r="K50" s="17" t="n"/>
    </row>
    <row r="51">
      <c r="A51" s="14" t="inlineStr">
        <is>
          <t>Line 4</t>
        </is>
      </c>
      <c r="B51" s="14" t="inlineStr">
        <is>
          <t>linearity</t>
        </is>
      </c>
      <c r="C51" s="15" t="n"/>
      <c r="D51" s="15" t="n"/>
      <c r="E51" s="14" t="inlineStr">
        <is>
          <t>20x</t>
        </is>
      </c>
      <c r="F51" s="14" t="inlineStr">
        <is>
          <t>in</t>
        </is>
      </c>
      <c r="G51" s="14" t="inlineStr">
        <is>
          <t>in</t>
        </is>
      </c>
      <c r="H51" s="14" t="inlineStr">
        <is>
          <t>in</t>
        </is>
      </c>
      <c r="I51" s="14" t="n">
        <v>5</v>
      </c>
      <c r="J51" s="16" t="n"/>
      <c r="K51" s="17" t="n"/>
    </row>
    <row r="52">
      <c r="A52" s="14" t="inlineStr">
        <is>
          <t>Line 4</t>
        </is>
      </c>
      <c r="B52" s="14" t="inlineStr">
        <is>
          <t>linearity</t>
        </is>
      </c>
      <c r="C52" s="15" t="n"/>
      <c r="D52" s="15" t="n"/>
      <c r="E52" s="14" t="inlineStr">
        <is>
          <t>20x</t>
        </is>
      </c>
      <c r="F52" s="14" t="inlineStr">
        <is>
          <t>in</t>
        </is>
      </c>
      <c r="G52" s="14" t="inlineStr">
        <is>
          <t>in</t>
        </is>
      </c>
      <c r="H52" s="14" t="inlineStr">
        <is>
          <t>in</t>
        </is>
      </c>
      <c r="I52" s="14" t="n">
        <v>10</v>
      </c>
      <c r="J52" s="16" t="n"/>
      <c r="K52" s="17" t="n"/>
    </row>
    <row r="53">
      <c r="A53" s="14" t="inlineStr">
        <is>
          <t>Line 4</t>
        </is>
      </c>
      <c r="B53" s="14" t="inlineStr">
        <is>
          <t>linearity</t>
        </is>
      </c>
      <c r="C53" s="15" t="n"/>
      <c r="D53" s="15" t="n"/>
      <c r="E53" s="14" t="inlineStr">
        <is>
          <t>20x</t>
        </is>
      </c>
      <c r="F53" s="14" t="inlineStr">
        <is>
          <t>in</t>
        </is>
      </c>
      <c r="G53" s="14" t="inlineStr">
        <is>
          <t>in</t>
        </is>
      </c>
      <c r="H53" s="14" t="inlineStr">
        <is>
          <t>in</t>
        </is>
      </c>
      <c r="I53" s="14" t="n">
        <v>30</v>
      </c>
      <c r="J53" s="16" t="n"/>
      <c r="K53" s="17" t="n"/>
    </row>
    <row r="54">
      <c r="A54" s="14" t="inlineStr">
        <is>
          <t>Line 4</t>
        </is>
      </c>
      <c r="B54" s="14" t="inlineStr">
        <is>
          <t>linearity</t>
        </is>
      </c>
      <c r="C54" s="15" t="n"/>
      <c r="D54" s="15" t="n"/>
      <c r="E54" s="14" t="inlineStr">
        <is>
          <t>20x</t>
        </is>
      </c>
      <c r="F54" s="14" t="inlineStr">
        <is>
          <t>in</t>
        </is>
      </c>
      <c r="G54" s="14" t="inlineStr">
        <is>
          <t>in</t>
        </is>
      </c>
      <c r="H54" s="14" t="inlineStr">
        <is>
          <t>in</t>
        </is>
      </c>
      <c r="I54" s="14" t="n">
        <v>50</v>
      </c>
      <c r="J54" s="16" t="n"/>
      <c r="K54" s="17" t="n"/>
    </row>
    <row r="55">
      <c r="A55" s="18" t="inlineStr">
        <is>
          <t>Line 4</t>
        </is>
      </c>
      <c r="B55" s="18" t="inlineStr">
        <is>
          <t>REFERENCE</t>
        </is>
      </c>
      <c r="C55" s="15" t="n"/>
      <c r="D55" s="15" t="n"/>
      <c r="E55" s="18" t="inlineStr">
        <is>
          <t>20x</t>
        </is>
      </c>
      <c r="F55" s="18" t="inlineStr">
        <is>
          <t>in</t>
        </is>
      </c>
      <c r="G55" s="18" t="inlineStr">
        <is>
          <t>in</t>
        </is>
      </c>
      <c r="H55" s="18" t="inlineStr">
        <is>
          <t>in</t>
        </is>
      </c>
      <c r="I55" s="18" t="n">
        <v>100</v>
      </c>
      <c r="J55" s="16" t="n"/>
      <c r="K55" s="17" t="n"/>
    </row>
    <row r="56">
      <c r="A56" s="14" t="inlineStr">
        <is>
          <t>Line 4</t>
        </is>
      </c>
      <c r="B56" s="14" t="inlineStr">
        <is>
          <t>objective</t>
        </is>
      </c>
      <c r="C56" s="15" t="n"/>
      <c r="D56" s="15" t="n"/>
      <c r="E56" s="14" t="inlineStr">
        <is>
          <t>4x</t>
        </is>
      </c>
      <c r="F56" s="14" t="inlineStr">
        <is>
          <t>in</t>
        </is>
      </c>
      <c r="G56" s="14" t="inlineStr">
        <is>
          <t>in</t>
        </is>
      </c>
      <c r="H56" s="14" t="inlineStr">
        <is>
          <t>in</t>
        </is>
      </c>
      <c r="I56" s="14" t="n">
        <v>100</v>
      </c>
      <c r="J56" s="16" t="n"/>
      <c r="K56" s="17" t="n"/>
    </row>
    <row r="57">
      <c r="A57" s="14" t="inlineStr">
        <is>
          <t>Line 4</t>
        </is>
      </c>
      <c r="B57" s="14" t="inlineStr">
        <is>
          <t>objective</t>
        </is>
      </c>
      <c r="C57" s="15" t="n"/>
      <c r="D57" s="15" t="n"/>
      <c r="E57" s="14" t="inlineStr">
        <is>
          <t>10x</t>
        </is>
      </c>
      <c r="F57" s="14" t="inlineStr">
        <is>
          <t>in</t>
        </is>
      </c>
      <c r="G57" s="14" t="inlineStr">
        <is>
          <t>in</t>
        </is>
      </c>
      <c r="H57" s="14" t="inlineStr">
        <is>
          <t>in</t>
        </is>
      </c>
      <c r="I57" s="14" t="n">
        <v>100</v>
      </c>
      <c r="J57" s="16" t="n"/>
      <c r="K57" s="17" t="n"/>
    </row>
    <row r="58">
      <c r="A58" s="14" t="inlineStr">
        <is>
          <t>Line 4</t>
        </is>
      </c>
      <c r="B58" s="14" t="inlineStr">
        <is>
          <t>element</t>
        </is>
      </c>
      <c r="C58" s="15" t="n"/>
      <c r="D58" s="15" t="n"/>
      <c r="E58" s="14" t="inlineStr">
        <is>
          <t>20x</t>
        </is>
      </c>
      <c r="F58" s="14" t="inlineStr">
        <is>
          <t>out</t>
        </is>
      </c>
      <c r="G58" s="14" t="inlineStr">
        <is>
          <t>in</t>
        </is>
      </c>
      <c r="H58" s="14" t="inlineStr">
        <is>
          <t>in</t>
        </is>
      </c>
      <c r="I58" s="14" t="n">
        <v>100</v>
      </c>
      <c r="J58" s="16" t="n"/>
      <c r="K58" s="17" t="n"/>
    </row>
    <row r="59">
      <c r="A59" s="14" t="inlineStr">
        <is>
          <t>Line 4</t>
        </is>
      </c>
      <c r="B59" s="14" t="inlineStr">
        <is>
          <t>element</t>
        </is>
      </c>
      <c r="C59" s="15" t="n"/>
      <c r="D59" s="15" t="n"/>
      <c r="E59" s="14" t="inlineStr">
        <is>
          <t>20x</t>
        </is>
      </c>
      <c r="F59" s="14" t="inlineStr">
        <is>
          <t>in</t>
        </is>
      </c>
      <c r="G59" s="14" t="inlineStr">
        <is>
          <t>out</t>
        </is>
      </c>
      <c r="H59" s="14" t="inlineStr">
        <is>
          <t>in</t>
        </is>
      </c>
      <c r="I59" s="14" t="n">
        <v>100</v>
      </c>
      <c r="J59" s="16" t="n"/>
      <c r="K59" s="17" t="n"/>
    </row>
    <row r="60">
      <c r="A60" s="14" t="inlineStr">
        <is>
          <t>Line 4</t>
        </is>
      </c>
      <c r="B60" s="14" t="inlineStr">
        <is>
          <t>element</t>
        </is>
      </c>
      <c r="C60" s="15" t="n"/>
      <c r="D60" s="15" t="n"/>
      <c r="E60" s="14" t="inlineStr">
        <is>
          <t>20x</t>
        </is>
      </c>
      <c r="F60" s="14" t="inlineStr">
        <is>
          <t>in</t>
        </is>
      </c>
      <c r="G60" s="14" t="inlineStr">
        <is>
          <t>in</t>
        </is>
      </c>
      <c r="H60" s="14" t="inlineStr">
        <is>
          <t>out</t>
        </is>
      </c>
      <c r="I60" s="14" t="n">
        <v>100</v>
      </c>
      <c r="J60" s="16" t="n"/>
      <c r="K60" s="17" t="n"/>
    </row>
    <row r="61">
      <c r="A61" s="14" t="inlineStr">
        <is>
          <t>Line 4</t>
        </is>
      </c>
      <c r="B61" s="14" t="inlineStr">
        <is>
          <t>cross-check</t>
        </is>
      </c>
      <c r="C61" s="15" t="n"/>
      <c r="D61" s="15" t="n"/>
      <c r="E61" s="14" t="inlineStr">
        <is>
          <t>20x</t>
        </is>
      </c>
      <c r="F61" s="14" t="inlineStr">
        <is>
          <t>out</t>
        </is>
      </c>
      <c r="G61" s="14" t="inlineStr">
        <is>
          <t>out</t>
        </is>
      </c>
      <c r="H61" s="14" t="inlineStr">
        <is>
          <t>in</t>
        </is>
      </c>
      <c r="I61" s="14" t="n">
        <v>100</v>
      </c>
      <c r="J61" s="16" t="n"/>
      <c r="K61" s="17" t="n"/>
    </row>
    <row r="62">
      <c r="A62" s="14" t="inlineStr">
        <is>
          <t>Line 4</t>
        </is>
      </c>
      <c r="B62" s="14" t="inlineStr">
        <is>
          <t>cross-check</t>
        </is>
      </c>
      <c r="C62" s="15" t="n"/>
      <c r="D62" s="15" t="n"/>
      <c r="E62" s="14" t="inlineStr">
        <is>
          <t>20x</t>
        </is>
      </c>
      <c r="F62" s="14" t="inlineStr">
        <is>
          <t>out</t>
        </is>
      </c>
      <c r="G62" s="14" t="inlineStr">
        <is>
          <t>out</t>
        </is>
      </c>
      <c r="H62" s="14" t="inlineStr">
        <is>
          <t>out</t>
        </is>
      </c>
      <c r="I62" s="14" t="n">
        <v>100</v>
      </c>
      <c r="J62" s="16" t="n"/>
      <c r="K62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3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Illuminated area — the half a power meter does not give</t>
        </is>
      </c>
    </row>
    <row r="2">
      <c r="A2" s="2" t="inlineStr">
        <is>
          <t>Image a uniform fluorescent slide or dye solution; measure the illuminated disc's diameter in pixels.</t>
        </is>
      </c>
    </row>
    <row r="3" ht="30" customHeight="1">
      <c r="A3" s="19" t="inlineStr">
        <is>
          <t>In data/pixel_size.yaml only 20x is evidence: measured. 4x and 10x are nominal, so their area inherits nominal unless the pixel size is measured in the same session (python -m calibration.cli intermediate-mag &lt;cfg&gt;).</t>
        </is>
      </c>
    </row>
    <row r="5">
      <c r="A5" s="12" t="inlineStr">
        <is>
          <t>Objective</t>
        </is>
      </c>
      <c r="B5" s="12" t="inlineStr">
        <is>
          <t>Diameter (px)</t>
        </is>
      </c>
      <c r="C5" s="12" t="inlineStr">
        <is>
          <t>um/px</t>
        </is>
      </c>
      <c r="D5" s="12" t="inlineStr">
        <is>
          <t>px evidence</t>
        </is>
      </c>
      <c r="E5" s="12" t="inlineStr">
        <is>
          <t>Shape</t>
        </is>
      </c>
      <c r="F5" s="12" t="inlineStr">
        <is>
          <t>Area (um^2)</t>
        </is>
      </c>
      <c r="G5" s="12" t="inlineStr">
        <is>
          <t>Area (cm^2)</t>
        </is>
      </c>
    </row>
    <row r="6">
      <c r="A6" s="7" t="inlineStr">
        <is>
          <t>4x</t>
        </is>
      </c>
      <c r="B6" s="8" t="n"/>
      <c r="C6" s="8" t="n"/>
      <c r="D6" s="8" t="n"/>
      <c r="E6" s="8" t="n"/>
      <c r="F6" s="20">
        <f>IFERROR(PI()*(B6*C6/2)^2,"")</f>
        <v/>
      </c>
      <c r="G6" s="21">
        <f>IFERROR(F6*1E-8,"")</f>
        <v/>
      </c>
    </row>
    <row r="7">
      <c r="A7" s="7" t="inlineStr">
        <is>
          <t>10x</t>
        </is>
      </c>
      <c r="B7" s="8" t="n"/>
      <c r="C7" s="8" t="n"/>
      <c r="D7" s="8" t="n"/>
      <c r="E7" s="8" t="n"/>
      <c r="F7" s="20">
        <f>IFERROR(PI()*(B7*C7/2)^2,"")</f>
        <v/>
      </c>
      <c r="G7" s="21">
        <f>IFERROR(F7*1E-8,"")</f>
        <v/>
      </c>
    </row>
    <row r="8">
      <c r="A8" s="7" t="inlineStr">
        <is>
          <t>20x</t>
        </is>
      </c>
      <c r="B8" s="8" t="n"/>
      <c r="C8" s="8" t="n"/>
      <c r="D8" s="8" t="n"/>
      <c r="E8" s="8" t="n"/>
      <c r="F8" s="20">
        <f>IFERROR(PI()*(B8*C8/2)^2,"")</f>
        <v/>
      </c>
      <c r="G8" s="21">
        <f>IFERROR(F8*1E-8,"")</f>
        <v/>
      </c>
    </row>
    <row r="10">
      <c r="A10" s="2" t="inlineStr">
        <is>
          <t>nominal | measured — write it, the tier travels with the number</t>
        </is>
      </c>
    </row>
    <row r="11">
      <c r="A11" s="2" t="inlineStr">
        <is>
          <t>Shape: disc | vignetted | field-filling. A vignetted field is not a disc of that diameter.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0" customWidth="1" min="5" max="5"/>
    <col width="62" customWidth="1" min="6" max="6"/>
  </cols>
  <sheetData>
    <row r="1">
      <c r="A1" s="1" t="inlineStr">
        <is>
          <t>Computed at the bench — nothing here is filled by hand</t>
        </is>
      </c>
    </row>
    <row r="2">
      <c r="A2" s="2" t="inlineStr">
        <is>
          <t>Blank until the Power tab has values. Watch the cross-check while you measure.</t>
        </is>
      </c>
    </row>
    <row r="4">
      <c r="A4" s="1" t="inlineStr">
        <is>
          <t>Block 1</t>
        </is>
      </c>
      <c r="B4" s="4">
        <f>IFERROR(Power!C8&amp;" "&amp;Power!D8&amp;" nm","")</f>
        <v/>
      </c>
    </row>
    <row r="5">
      <c r="A5" s="4" t="inlineStr">
        <is>
          <t>Linearity</t>
        </is>
      </c>
      <c r="F5" s="2" t="inlineStr">
        <is>
          <t>linear_in_level is TRUE only if these deviations stay small</t>
        </is>
      </c>
    </row>
    <row r="6">
      <c r="A6" s="6" t="inlineStr">
        <is>
          <t>Level %</t>
        </is>
      </c>
      <c r="B6" s="6" t="inlineStr">
        <is>
          <t>Measured mW</t>
        </is>
      </c>
      <c r="C6" s="6" t="inlineStr">
        <is>
          <t>If linear</t>
        </is>
      </c>
      <c r="D6" s="6" t="inlineStr">
        <is>
          <t>Deviation</t>
        </is>
      </c>
    </row>
    <row r="7">
      <c r="A7" s="22" t="n">
        <v>0</v>
      </c>
      <c r="B7" s="11">
        <f>IFERROR(Power!J8,"")</f>
        <v/>
      </c>
      <c r="C7" s="11">
        <f>IFERROR(Power!J13*0/100,"")</f>
        <v/>
      </c>
      <c r="D7" s="23">
        <f>IFERROR(Power!J8/(Power!J13*0/100)-1,"")</f>
        <v/>
      </c>
    </row>
    <row r="8">
      <c r="A8" s="22" t="n">
        <v>5</v>
      </c>
      <c r="B8" s="11">
        <f>IFERROR(Power!J9,"")</f>
        <v/>
      </c>
      <c r="C8" s="11">
        <f>IFERROR(Power!J13*5/100,"")</f>
        <v/>
      </c>
      <c r="D8" s="23">
        <f>IFERROR(Power!J9/(Power!J13*5/100)-1,"")</f>
        <v/>
      </c>
    </row>
    <row r="9">
      <c r="A9" s="22" t="n">
        <v>10</v>
      </c>
      <c r="B9" s="11">
        <f>IFERROR(Power!J10,"")</f>
        <v/>
      </c>
      <c r="C9" s="11">
        <f>IFERROR(Power!J13*10/100,"")</f>
        <v/>
      </c>
      <c r="D9" s="23">
        <f>IFERROR(Power!J10/(Power!J13*10/100)-1,"")</f>
        <v/>
      </c>
    </row>
    <row r="10">
      <c r="A10" s="22" t="n">
        <v>30</v>
      </c>
      <c r="B10" s="11">
        <f>IFERROR(Power!J11,"")</f>
        <v/>
      </c>
      <c r="C10" s="11">
        <f>IFERROR(Power!J13*30/100,"")</f>
        <v/>
      </c>
      <c r="D10" s="23">
        <f>IFERROR(Power!J11/(Power!J13*30/100)-1,"")</f>
        <v/>
      </c>
    </row>
    <row r="11">
      <c r="A11" s="22" t="n">
        <v>50</v>
      </c>
      <c r="B11" s="11">
        <f>IFERROR(Power!J12,"")</f>
        <v/>
      </c>
      <c r="C11" s="11">
        <f>IFERROR(Power!J13*50/100,"")</f>
        <v/>
      </c>
      <c r="D11" s="23">
        <f>IFERROR(Power!J12/(Power!J13*50/100)-1,"")</f>
        <v/>
      </c>
    </row>
    <row r="12">
      <c r="A12" s="22" t="n">
        <v>100</v>
      </c>
      <c r="B12" s="11">
        <f>IFERROR(Power!J13,"")</f>
        <v/>
      </c>
      <c r="C12" s="11">
        <f>IFERROR(Power!J13*100/100,"")</f>
        <v/>
      </c>
      <c r="D12" s="23">
        <f>IFERROR(Power!J13/(Power!J13*100/100)-1,"")</f>
        <v/>
      </c>
    </row>
    <row r="14">
      <c r="A14" s="4" t="inlineStr">
        <is>
          <t>Element transmission</t>
        </is>
      </c>
      <c r="F14" s="2" t="inlineStr">
        <is>
          <t>T = reference / (that element removed). T&lt;1 means it attenuates.</t>
        </is>
      </c>
    </row>
    <row r="15">
      <c r="A15" s="6" t="inlineStr">
        <is>
          <t>Element</t>
        </is>
      </c>
      <c r="B15" s="6" t="inlineStr">
        <is>
          <t>mW with it out</t>
        </is>
      </c>
      <c r="C15" s="6" t="inlineStr">
        <is>
          <t>T</t>
        </is>
      </c>
      <c r="D15" s="6" t="inlineStr"/>
    </row>
    <row r="16">
      <c r="A16" s="22" t="inlineStr">
        <is>
          <t>mirror</t>
        </is>
      </c>
      <c r="B16" s="11">
        <f>IFERROR(Power!J16,"")</f>
        <v/>
      </c>
      <c r="C16" s="24">
        <f>IFERROR(Power!J13/Power!J16,"")</f>
        <v/>
      </c>
    </row>
    <row r="17">
      <c r="A17" s="22" t="inlineStr">
        <is>
          <t>multiband</t>
        </is>
      </c>
      <c r="B17" s="11">
        <f>IFERROR(Power!J17,"")</f>
        <v/>
      </c>
      <c r="C17" s="24">
        <f>IFERROR(Power!J13/Power!J17,"")</f>
        <v/>
      </c>
    </row>
    <row r="18">
      <c r="A18" s="22" t="inlineStr">
        <is>
          <t>IR</t>
        </is>
      </c>
      <c r="B18" s="11">
        <f>IFERROR(Power!J18,"")</f>
        <v/>
      </c>
      <c r="C18" s="24">
        <f>IFERROR(Power!J13/Power!J18,"")</f>
        <v/>
      </c>
    </row>
    <row r="20">
      <c r="A20" s="4" t="inlineStr">
        <is>
          <t>Cross-check: does the product hold?</t>
        </is>
      </c>
      <c r="F20" s="5" t="inlineStr">
        <is>
          <t>If agreement departs from 1.00, the 13-row reduction is void.</t>
        </is>
      </c>
    </row>
    <row r="21">
      <c r="A21" s="6" t="inlineStr">
        <is>
          <t>Case</t>
        </is>
      </c>
      <c r="B21" s="6" t="inlineStr">
        <is>
          <t>Predicted mW</t>
        </is>
      </c>
      <c r="C21" s="6" t="inlineStr">
        <is>
          <t>Measured mW</t>
        </is>
      </c>
      <c r="D21" s="6" t="inlineStr">
        <is>
          <t>Agreement</t>
        </is>
      </c>
    </row>
    <row r="22">
      <c r="A22" s="22" t="inlineStr">
        <is>
          <t>mirror + multiband out</t>
        </is>
      </c>
      <c r="B22" s="11">
        <f>IFERROR(Power!J13/(C16*C17),"")</f>
        <v/>
      </c>
      <c r="C22" s="11">
        <f>IFERROR(Power!J19,"")</f>
        <v/>
      </c>
      <c r="D22" s="24">
        <f>IFERROR(Power!J19/(Power!J13/(C16*C17)),"")</f>
        <v/>
      </c>
    </row>
    <row r="23">
      <c r="A23" s="22" t="inlineStr">
        <is>
          <t>all three out</t>
        </is>
      </c>
      <c r="B23" s="11">
        <f>IFERROR(Power!J13/(C16*C17*C18),"")</f>
        <v/>
      </c>
      <c r="C23" s="11">
        <f>IFERROR(Power!J20,"")</f>
        <v/>
      </c>
      <c r="D23" s="24">
        <f>IFERROR(Power!J20/(Power!J13/(C16*C17*C18)),"")</f>
        <v/>
      </c>
    </row>
    <row r="25">
      <c r="A25" s="4" t="inlineStr">
        <is>
          <t>Per objective, and the number the gates actually eat</t>
        </is>
      </c>
    </row>
    <row r="26">
      <c r="A26" s="6" t="inlineStr">
        <is>
          <t>Objective</t>
        </is>
      </c>
      <c r="B26" s="6" t="inlineStr">
        <is>
          <t>mW @100%</t>
        </is>
      </c>
      <c r="C26" s="6" t="inlineStr">
        <is>
          <t>vs 20x</t>
        </is>
      </c>
      <c r="D26" s="6" t="inlineStr">
        <is>
          <t>Area (cm^2)</t>
        </is>
      </c>
      <c r="E26" s="6" t="inlineStr">
        <is>
          <t>Irradiance (W/cm^2)</t>
        </is>
      </c>
    </row>
    <row r="27">
      <c r="A27" s="22" t="inlineStr">
        <is>
          <t>4x</t>
        </is>
      </c>
      <c r="B27" s="11">
        <f>IFERROR(Power!J14,"")</f>
        <v/>
      </c>
      <c r="C27" s="24">
        <f>IFERROR(Power!J14/Power!J13,"")</f>
        <v/>
      </c>
      <c r="D27" s="21">
        <f>IFERROR(Area!G6,"")</f>
        <v/>
      </c>
      <c r="E27" s="24">
        <f>IFERROR((Power!J14/1000)/Area!G6,"")</f>
        <v/>
      </c>
    </row>
    <row r="28">
      <c r="A28" s="22" t="inlineStr">
        <is>
          <t>10x</t>
        </is>
      </c>
      <c r="B28" s="11">
        <f>IFERROR(Power!J15,"")</f>
        <v/>
      </c>
      <c r="C28" s="24">
        <f>IFERROR(Power!J15/Power!J13,"")</f>
        <v/>
      </c>
      <c r="D28" s="21">
        <f>IFERROR(Area!G7,"")</f>
        <v/>
      </c>
      <c r="E28" s="24">
        <f>IFERROR((Power!J15/1000)/Area!G7,"")</f>
        <v/>
      </c>
    </row>
    <row r="29">
      <c r="A29" s="22" t="inlineStr">
        <is>
          <t>20x</t>
        </is>
      </c>
      <c r="B29" s="11">
        <f>IFERROR(Power!J13,"")</f>
        <v/>
      </c>
      <c r="C29" s="24">
        <f>IFERROR(Power!J13/Power!J13,"")</f>
        <v/>
      </c>
      <c r="D29" s="21">
        <f>IFERROR(Area!G8,"")</f>
        <v/>
      </c>
      <c r="E29" s="24">
        <f>IFERROR((Power!J13/1000)/Area!G8,"")</f>
        <v/>
      </c>
    </row>
    <row r="32">
      <c r="A32" s="1" t="inlineStr">
        <is>
          <t>Block 2</t>
        </is>
      </c>
      <c r="B32" s="4">
        <f>IFERROR(Power!C22&amp;" "&amp;Power!D22&amp;" nm","")</f>
        <v/>
      </c>
    </row>
    <row r="33">
      <c r="A33" s="4" t="inlineStr">
        <is>
          <t>Linearity</t>
        </is>
      </c>
      <c r="F33" s="2" t="inlineStr">
        <is>
          <t>linear_in_level is TRUE only if these deviations stay small</t>
        </is>
      </c>
    </row>
    <row r="34">
      <c r="A34" s="6" t="inlineStr">
        <is>
          <t>Level %</t>
        </is>
      </c>
      <c r="B34" s="6" t="inlineStr">
        <is>
          <t>Measured mW</t>
        </is>
      </c>
      <c r="C34" s="6" t="inlineStr">
        <is>
          <t>If linear</t>
        </is>
      </c>
      <c r="D34" s="6" t="inlineStr">
        <is>
          <t>Deviation</t>
        </is>
      </c>
    </row>
    <row r="35">
      <c r="A35" s="22" t="n">
        <v>0</v>
      </c>
      <c r="B35" s="11">
        <f>IFERROR(Power!J22,"")</f>
        <v/>
      </c>
      <c r="C35" s="11">
        <f>IFERROR(Power!J27*0/100,"")</f>
        <v/>
      </c>
      <c r="D35" s="23">
        <f>IFERROR(Power!J22/(Power!J27*0/100)-1,"")</f>
        <v/>
      </c>
    </row>
    <row r="36">
      <c r="A36" s="22" t="n">
        <v>5</v>
      </c>
      <c r="B36" s="11">
        <f>IFERROR(Power!J23,"")</f>
        <v/>
      </c>
      <c r="C36" s="11">
        <f>IFERROR(Power!J27*5/100,"")</f>
        <v/>
      </c>
      <c r="D36" s="23">
        <f>IFERROR(Power!J23/(Power!J27*5/100)-1,"")</f>
        <v/>
      </c>
    </row>
    <row r="37">
      <c r="A37" s="22" t="n">
        <v>10</v>
      </c>
      <c r="B37" s="11">
        <f>IFERROR(Power!J24,"")</f>
        <v/>
      </c>
      <c r="C37" s="11">
        <f>IFERROR(Power!J27*10/100,"")</f>
        <v/>
      </c>
      <c r="D37" s="23">
        <f>IFERROR(Power!J24/(Power!J27*10/100)-1,"")</f>
        <v/>
      </c>
    </row>
    <row r="38">
      <c r="A38" s="22" t="n">
        <v>30</v>
      </c>
      <c r="B38" s="11">
        <f>IFERROR(Power!J25,"")</f>
        <v/>
      </c>
      <c r="C38" s="11">
        <f>IFERROR(Power!J27*30/100,"")</f>
        <v/>
      </c>
      <c r="D38" s="23">
        <f>IFERROR(Power!J25/(Power!J27*30/100)-1,"")</f>
        <v/>
      </c>
    </row>
    <row r="39">
      <c r="A39" s="22" t="n">
        <v>50</v>
      </c>
      <c r="B39" s="11">
        <f>IFERROR(Power!J26,"")</f>
        <v/>
      </c>
      <c r="C39" s="11">
        <f>IFERROR(Power!J27*50/100,"")</f>
        <v/>
      </c>
      <c r="D39" s="23">
        <f>IFERROR(Power!J26/(Power!J27*50/100)-1,"")</f>
        <v/>
      </c>
    </row>
    <row r="40">
      <c r="A40" s="22" t="n">
        <v>100</v>
      </c>
      <c r="B40" s="11">
        <f>IFERROR(Power!J27,"")</f>
        <v/>
      </c>
      <c r="C40" s="11">
        <f>IFERROR(Power!J27*100/100,"")</f>
        <v/>
      </c>
      <c r="D40" s="23">
        <f>IFERROR(Power!J27/(Power!J27*100/100)-1,"")</f>
        <v/>
      </c>
    </row>
    <row r="42">
      <c r="A42" s="4" t="inlineStr">
        <is>
          <t>Element transmission</t>
        </is>
      </c>
      <c r="F42" s="2" t="inlineStr">
        <is>
          <t>T = reference / (that element removed). T&lt;1 means it attenuates.</t>
        </is>
      </c>
    </row>
    <row r="43">
      <c r="A43" s="6" t="inlineStr">
        <is>
          <t>Element</t>
        </is>
      </c>
      <c r="B43" s="6" t="inlineStr">
        <is>
          <t>mW with it out</t>
        </is>
      </c>
      <c r="C43" s="6" t="inlineStr">
        <is>
          <t>T</t>
        </is>
      </c>
      <c r="D43" s="6" t="inlineStr"/>
    </row>
    <row r="44">
      <c r="A44" s="22" t="inlineStr">
        <is>
          <t>mirror</t>
        </is>
      </c>
      <c r="B44" s="11">
        <f>IFERROR(Power!J30,"")</f>
        <v/>
      </c>
      <c r="C44" s="24">
        <f>IFERROR(Power!J27/Power!J30,"")</f>
        <v/>
      </c>
    </row>
    <row r="45">
      <c r="A45" s="22" t="inlineStr">
        <is>
          <t>multiband</t>
        </is>
      </c>
      <c r="B45" s="11">
        <f>IFERROR(Power!J31,"")</f>
        <v/>
      </c>
      <c r="C45" s="24">
        <f>IFERROR(Power!J27/Power!J31,"")</f>
        <v/>
      </c>
    </row>
    <row r="46">
      <c r="A46" s="22" t="inlineStr">
        <is>
          <t>IR</t>
        </is>
      </c>
      <c r="B46" s="11">
        <f>IFERROR(Power!J32,"")</f>
        <v/>
      </c>
      <c r="C46" s="24">
        <f>IFERROR(Power!J27/Power!J32,"")</f>
        <v/>
      </c>
    </row>
    <row r="48">
      <c r="A48" s="4" t="inlineStr">
        <is>
          <t>Cross-check: does the product hold?</t>
        </is>
      </c>
      <c r="F48" s="5" t="inlineStr">
        <is>
          <t>If agreement departs from 1.00, the 13-row reduction is void.</t>
        </is>
      </c>
    </row>
    <row r="49">
      <c r="A49" s="6" t="inlineStr">
        <is>
          <t>Case</t>
        </is>
      </c>
      <c r="B49" s="6" t="inlineStr">
        <is>
          <t>Predicted mW</t>
        </is>
      </c>
      <c r="C49" s="6" t="inlineStr">
        <is>
          <t>Measured mW</t>
        </is>
      </c>
      <c r="D49" s="6" t="inlineStr">
        <is>
          <t>Agreement</t>
        </is>
      </c>
    </row>
    <row r="50">
      <c r="A50" s="22" t="inlineStr">
        <is>
          <t>mirror + multiband out</t>
        </is>
      </c>
      <c r="B50" s="11">
        <f>IFERROR(Power!J27/(C44*C45),"")</f>
        <v/>
      </c>
      <c r="C50" s="11">
        <f>IFERROR(Power!J33,"")</f>
        <v/>
      </c>
      <c r="D50" s="24">
        <f>IFERROR(Power!J33/(Power!J27/(C44*C45)),"")</f>
        <v/>
      </c>
    </row>
    <row r="51">
      <c r="A51" s="22" t="inlineStr">
        <is>
          <t>all three out</t>
        </is>
      </c>
      <c r="B51" s="11">
        <f>IFERROR(Power!J27/(C44*C45*C46),"")</f>
        <v/>
      </c>
      <c r="C51" s="11">
        <f>IFERROR(Power!J34,"")</f>
        <v/>
      </c>
      <c r="D51" s="24">
        <f>IFERROR(Power!J34/(Power!J27/(C44*C45*C46)),"")</f>
        <v/>
      </c>
    </row>
    <row r="53">
      <c r="A53" s="4" t="inlineStr">
        <is>
          <t>Per objective, and the number the gates actually eat</t>
        </is>
      </c>
    </row>
    <row r="54">
      <c r="A54" s="6" t="inlineStr">
        <is>
          <t>Objective</t>
        </is>
      </c>
      <c r="B54" s="6" t="inlineStr">
        <is>
          <t>mW @100%</t>
        </is>
      </c>
      <c r="C54" s="6" t="inlineStr">
        <is>
          <t>vs 20x</t>
        </is>
      </c>
      <c r="D54" s="6" t="inlineStr">
        <is>
          <t>Area (cm^2)</t>
        </is>
      </c>
      <c r="E54" s="6" t="inlineStr">
        <is>
          <t>Irradiance (W/cm^2)</t>
        </is>
      </c>
    </row>
    <row r="55">
      <c r="A55" s="22" t="inlineStr">
        <is>
          <t>4x</t>
        </is>
      </c>
      <c r="B55" s="11">
        <f>IFERROR(Power!J28,"")</f>
        <v/>
      </c>
      <c r="C55" s="24">
        <f>IFERROR(Power!J28/Power!J27,"")</f>
        <v/>
      </c>
      <c r="D55" s="21">
        <f>IFERROR(Area!G6,"")</f>
        <v/>
      </c>
      <c r="E55" s="24">
        <f>IFERROR((Power!J28/1000)/Area!G6,"")</f>
        <v/>
      </c>
    </row>
    <row r="56">
      <c r="A56" s="22" t="inlineStr">
        <is>
          <t>10x</t>
        </is>
      </c>
      <c r="B56" s="11">
        <f>IFERROR(Power!J29,"")</f>
        <v/>
      </c>
      <c r="C56" s="24">
        <f>IFERROR(Power!J29/Power!J27,"")</f>
        <v/>
      </c>
      <c r="D56" s="21">
        <f>IFERROR(Area!G7,"")</f>
        <v/>
      </c>
      <c r="E56" s="24">
        <f>IFERROR((Power!J29/1000)/Area!G7,"")</f>
        <v/>
      </c>
    </row>
    <row r="57">
      <c r="A57" s="22" t="inlineStr">
        <is>
          <t>20x</t>
        </is>
      </c>
      <c r="B57" s="11">
        <f>IFERROR(Power!J27,"")</f>
        <v/>
      </c>
      <c r="C57" s="24">
        <f>IFERROR(Power!J27/Power!J27,"")</f>
        <v/>
      </c>
      <c r="D57" s="21">
        <f>IFERROR(Area!G8,"")</f>
        <v/>
      </c>
      <c r="E57" s="24">
        <f>IFERROR((Power!J27/1000)/Area!G8,"")</f>
        <v/>
      </c>
    </row>
    <row r="60">
      <c r="A60" s="1" t="inlineStr">
        <is>
          <t>Block 3</t>
        </is>
      </c>
      <c r="B60" s="4">
        <f>IFERROR(Power!C36&amp;" "&amp;Power!D36&amp;" nm","")</f>
        <v/>
      </c>
    </row>
    <row r="61">
      <c r="A61" s="4" t="inlineStr">
        <is>
          <t>Linearity</t>
        </is>
      </c>
      <c r="F61" s="2" t="inlineStr">
        <is>
          <t>linear_in_level is TRUE only if these deviations stay small</t>
        </is>
      </c>
    </row>
    <row r="62">
      <c r="A62" s="6" t="inlineStr">
        <is>
          <t>Level %</t>
        </is>
      </c>
      <c r="B62" s="6" t="inlineStr">
        <is>
          <t>Measured mW</t>
        </is>
      </c>
      <c r="C62" s="6" t="inlineStr">
        <is>
          <t>If linear</t>
        </is>
      </c>
      <c r="D62" s="6" t="inlineStr">
        <is>
          <t>Deviation</t>
        </is>
      </c>
    </row>
    <row r="63">
      <c r="A63" s="22" t="n">
        <v>0</v>
      </c>
      <c r="B63" s="11">
        <f>IFERROR(Power!J36,"")</f>
        <v/>
      </c>
      <c r="C63" s="11">
        <f>IFERROR(Power!J41*0/100,"")</f>
        <v/>
      </c>
      <c r="D63" s="23">
        <f>IFERROR(Power!J36/(Power!J41*0/100)-1,"")</f>
        <v/>
      </c>
    </row>
    <row r="64">
      <c r="A64" s="22" t="n">
        <v>5</v>
      </c>
      <c r="B64" s="11">
        <f>IFERROR(Power!J37,"")</f>
        <v/>
      </c>
      <c r="C64" s="11">
        <f>IFERROR(Power!J41*5/100,"")</f>
        <v/>
      </c>
      <c r="D64" s="23">
        <f>IFERROR(Power!J37/(Power!J41*5/100)-1,"")</f>
        <v/>
      </c>
    </row>
    <row r="65">
      <c r="A65" s="22" t="n">
        <v>10</v>
      </c>
      <c r="B65" s="11">
        <f>IFERROR(Power!J38,"")</f>
        <v/>
      </c>
      <c r="C65" s="11">
        <f>IFERROR(Power!J41*10/100,"")</f>
        <v/>
      </c>
      <c r="D65" s="23">
        <f>IFERROR(Power!J38/(Power!J41*10/100)-1,"")</f>
        <v/>
      </c>
    </row>
    <row r="66">
      <c r="A66" s="22" t="n">
        <v>30</v>
      </c>
      <c r="B66" s="11">
        <f>IFERROR(Power!J39,"")</f>
        <v/>
      </c>
      <c r="C66" s="11">
        <f>IFERROR(Power!J41*30/100,"")</f>
        <v/>
      </c>
      <c r="D66" s="23">
        <f>IFERROR(Power!J39/(Power!J41*30/100)-1,"")</f>
        <v/>
      </c>
    </row>
    <row r="67">
      <c r="A67" s="22" t="n">
        <v>50</v>
      </c>
      <c r="B67" s="11">
        <f>IFERROR(Power!J40,"")</f>
        <v/>
      </c>
      <c r="C67" s="11">
        <f>IFERROR(Power!J41*50/100,"")</f>
        <v/>
      </c>
      <c r="D67" s="23">
        <f>IFERROR(Power!J40/(Power!J41*50/100)-1,"")</f>
        <v/>
      </c>
    </row>
    <row r="68">
      <c r="A68" s="22" t="n">
        <v>100</v>
      </c>
      <c r="B68" s="11">
        <f>IFERROR(Power!J41,"")</f>
        <v/>
      </c>
      <c r="C68" s="11">
        <f>IFERROR(Power!J41*100/100,"")</f>
        <v/>
      </c>
      <c r="D68" s="23">
        <f>IFERROR(Power!J41/(Power!J41*100/100)-1,"")</f>
        <v/>
      </c>
    </row>
    <row r="70">
      <c r="A70" s="4" t="inlineStr">
        <is>
          <t>Element transmission</t>
        </is>
      </c>
      <c r="F70" s="2" t="inlineStr">
        <is>
          <t>T = reference / (that element removed). T&lt;1 means it attenuates.</t>
        </is>
      </c>
    </row>
    <row r="71">
      <c r="A71" s="6" t="inlineStr">
        <is>
          <t>Element</t>
        </is>
      </c>
      <c r="B71" s="6" t="inlineStr">
        <is>
          <t>mW with it out</t>
        </is>
      </c>
      <c r="C71" s="6" t="inlineStr">
        <is>
          <t>T</t>
        </is>
      </c>
      <c r="D71" s="6" t="inlineStr"/>
    </row>
    <row r="72">
      <c r="A72" s="22" t="inlineStr">
        <is>
          <t>mirror</t>
        </is>
      </c>
      <c r="B72" s="11">
        <f>IFERROR(Power!J44,"")</f>
        <v/>
      </c>
      <c r="C72" s="24">
        <f>IFERROR(Power!J41/Power!J44,"")</f>
        <v/>
      </c>
    </row>
    <row r="73">
      <c r="A73" s="22" t="inlineStr">
        <is>
          <t>multiband</t>
        </is>
      </c>
      <c r="B73" s="11">
        <f>IFERROR(Power!J45,"")</f>
        <v/>
      </c>
      <c r="C73" s="24">
        <f>IFERROR(Power!J41/Power!J45,"")</f>
        <v/>
      </c>
    </row>
    <row r="74">
      <c r="A74" s="22" t="inlineStr">
        <is>
          <t>IR</t>
        </is>
      </c>
      <c r="B74" s="11">
        <f>IFERROR(Power!J46,"")</f>
        <v/>
      </c>
      <c r="C74" s="24">
        <f>IFERROR(Power!J41/Power!J46,"")</f>
        <v/>
      </c>
    </row>
    <row r="76">
      <c r="A76" s="4" t="inlineStr">
        <is>
          <t>Cross-check: does the product hold?</t>
        </is>
      </c>
      <c r="F76" s="5" t="inlineStr">
        <is>
          <t>If agreement departs from 1.00, the 13-row reduction is void.</t>
        </is>
      </c>
    </row>
    <row r="77">
      <c r="A77" s="6" t="inlineStr">
        <is>
          <t>Case</t>
        </is>
      </c>
      <c r="B77" s="6" t="inlineStr">
        <is>
          <t>Predicted mW</t>
        </is>
      </c>
      <c r="C77" s="6" t="inlineStr">
        <is>
          <t>Measured mW</t>
        </is>
      </c>
      <c r="D77" s="6" t="inlineStr">
        <is>
          <t>Agreement</t>
        </is>
      </c>
    </row>
    <row r="78">
      <c r="A78" s="22" t="inlineStr">
        <is>
          <t>mirror + multiband out</t>
        </is>
      </c>
      <c r="B78" s="11">
        <f>IFERROR(Power!J41/(C72*C73),"")</f>
        <v/>
      </c>
      <c r="C78" s="11">
        <f>IFERROR(Power!J47,"")</f>
        <v/>
      </c>
      <c r="D78" s="24">
        <f>IFERROR(Power!J47/(Power!J41/(C72*C73)),"")</f>
        <v/>
      </c>
    </row>
    <row r="79">
      <c r="A79" s="22" t="inlineStr">
        <is>
          <t>all three out</t>
        </is>
      </c>
      <c r="B79" s="11">
        <f>IFERROR(Power!J41/(C72*C73*C74),"")</f>
        <v/>
      </c>
      <c r="C79" s="11">
        <f>IFERROR(Power!J48,"")</f>
        <v/>
      </c>
      <c r="D79" s="24">
        <f>IFERROR(Power!J48/(Power!J41/(C72*C73*C74)),"")</f>
        <v/>
      </c>
    </row>
    <row r="81">
      <c r="A81" s="4" t="inlineStr">
        <is>
          <t>Per objective, and the number the gates actually eat</t>
        </is>
      </c>
    </row>
    <row r="82">
      <c r="A82" s="6" t="inlineStr">
        <is>
          <t>Objective</t>
        </is>
      </c>
      <c r="B82" s="6" t="inlineStr">
        <is>
          <t>mW @100%</t>
        </is>
      </c>
      <c r="C82" s="6" t="inlineStr">
        <is>
          <t>vs 20x</t>
        </is>
      </c>
      <c r="D82" s="6" t="inlineStr">
        <is>
          <t>Area (cm^2)</t>
        </is>
      </c>
      <c r="E82" s="6" t="inlineStr">
        <is>
          <t>Irradiance (W/cm^2)</t>
        </is>
      </c>
    </row>
    <row r="83">
      <c r="A83" s="22" t="inlineStr">
        <is>
          <t>4x</t>
        </is>
      </c>
      <c r="B83" s="11">
        <f>IFERROR(Power!J42,"")</f>
        <v/>
      </c>
      <c r="C83" s="24">
        <f>IFERROR(Power!J42/Power!J41,"")</f>
        <v/>
      </c>
      <c r="D83" s="21">
        <f>IFERROR(Area!G6,"")</f>
        <v/>
      </c>
      <c r="E83" s="24">
        <f>IFERROR((Power!J42/1000)/Area!G6,"")</f>
        <v/>
      </c>
    </row>
    <row r="84">
      <c r="A84" s="22" t="inlineStr">
        <is>
          <t>10x</t>
        </is>
      </c>
      <c r="B84" s="11">
        <f>IFERROR(Power!J43,"")</f>
        <v/>
      </c>
      <c r="C84" s="24">
        <f>IFERROR(Power!J43/Power!J41,"")</f>
        <v/>
      </c>
      <c r="D84" s="21">
        <f>IFERROR(Area!G7,"")</f>
        <v/>
      </c>
      <c r="E84" s="24">
        <f>IFERROR((Power!J43/1000)/Area!G7,"")</f>
        <v/>
      </c>
    </row>
    <row r="85">
      <c r="A85" s="22" t="inlineStr">
        <is>
          <t>20x</t>
        </is>
      </c>
      <c r="B85" s="11">
        <f>IFERROR(Power!J41,"")</f>
        <v/>
      </c>
      <c r="C85" s="24">
        <f>IFERROR(Power!J41/Power!J41,"")</f>
        <v/>
      </c>
      <c r="D85" s="21">
        <f>IFERROR(Area!G8,"")</f>
        <v/>
      </c>
      <c r="E85" s="24">
        <f>IFERROR((Power!J41/1000)/Area!G8,"")</f>
        <v/>
      </c>
    </row>
    <row r="88">
      <c r="A88" s="1" t="inlineStr">
        <is>
          <t>Block 4</t>
        </is>
      </c>
      <c r="B88" s="4">
        <f>IFERROR(Power!C50&amp;" "&amp;Power!D50&amp;" nm","")</f>
        <v/>
      </c>
    </row>
    <row r="89">
      <c r="A89" s="4" t="inlineStr">
        <is>
          <t>Linearity</t>
        </is>
      </c>
      <c r="F89" s="2" t="inlineStr">
        <is>
          <t>linear_in_level is TRUE only if these deviations stay small</t>
        </is>
      </c>
    </row>
    <row r="90">
      <c r="A90" s="6" t="inlineStr">
        <is>
          <t>Level %</t>
        </is>
      </c>
      <c r="B90" s="6" t="inlineStr">
        <is>
          <t>Measured mW</t>
        </is>
      </c>
      <c r="C90" s="6" t="inlineStr">
        <is>
          <t>If linear</t>
        </is>
      </c>
      <c r="D90" s="6" t="inlineStr">
        <is>
          <t>Deviation</t>
        </is>
      </c>
    </row>
    <row r="91">
      <c r="A91" s="22" t="n">
        <v>0</v>
      </c>
      <c r="B91" s="11">
        <f>IFERROR(Power!J50,"")</f>
        <v/>
      </c>
      <c r="C91" s="11">
        <f>IFERROR(Power!J55*0/100,"")</f>
        <v/>
      </c>
      <c r="D91" s="23">
        <f>IFERROR(Power!J50/(Power!J55*0/100)-1,"")</f>
        <v/>
      </c>
    </row>
    <row r="92">
      <c r="A92" s="22" t="n">
        <v>5</v>
      </c>
      <c r="B92" s="11">
        <f>IFERROR(Power!J51,"")</f>
        <v/>
      </c>
      <c r="C92" s="11">
        <f>IFERROR(Power!J55*5/100,"")</f>
        <v/>
      </c>
      <c r="D92" s="23">
        <f>IFERROR(Power!J51/(Power!J55*5/100)-1,"")</f>
        <v/>
      </c>
    </row>
    <row r="93">
      <c r="A93" s="22" t="n">
        <v>10</v>
      </c>
      <c r="B93" s="11">
        <f>IFERROR(Power!J52,"")</f>
        <v/>
      </c>
      <c r="C93" s="11">
        <f>IFERROR(Power!J55*10/100,"")</f>
        <v/>
      </c>
      <c r="D93" s="23">
        <f>IFERROR(Power!J52/(Power!J55*10/100)-1,"")</f>
        <v/>
      </c>
    </row>
    <row r="94">
      <c r="A94" s="22" t="n">
        <v>30</v>
      </c>
      <c r="B94" s="11">
        <f>IFERROR(Power!J53,"")</f>
        <v/>
      </c>
      <c r="C94" s="11">
        <f>IFERROR(Power!J55*30/100,"")</f>
        <v/>
      </c>
      <c r="D94" s="23">
        <f>IFERROR(Power!J53/(Power!J55*30/100)-1,"")</f>
        <v/>
      </c>
    </row>
    <row r="95">
      <c r="A95" s="22" t="n">
        <v>50</v>
      </c>
      <c r="B95" s="11">
        <f>IFERROR(Power!J54,"")</f>
        <v/>
      </c>
      <c r="C95" s="11">
        <f>IFERROR(Power!J55*50/100,"")</f>
        <v/>
      </c>
      <c r="D95" s="23">
        <f>IFERROR(Power!J54/(Power!J55*50/100)-1,"")</f>
        <v/>
      </c>
    </row>
    <row r="96">
      <c r="A96" s="22" t="n">
        <v>100</v>
      </c>
      <c r="B96" s="11">
        <f>IFERROR(Power!J55,"")</f>
        <v/>
      </c>
      <c r="C96" s="11">
        <f>IFERROR(Power!J55*100/100,"")</f>
        <v/>
      </c>
      <c r="D96" s="23">
        <f>IFERROR(Power!J55/(Power!J55*100/100)-1,"")</f>
        <v/>
      </c>
    </row>
    <row r="98">
      <c r="A98" s="4" t="inlineStr">
        <is>
          <t>Element transmission</t>
        </is>
      </c>
      <c r="F98" s="2" t="inlineStr">
        <is>
          <t>T = reference / (that element removed). T&lt;1 means it attenuates.</t>
        </is>
      </c>
    </row>
    <row r="99">
      <c r="A99" s="6" t="inlineStr">
        <is>
          <t>Element</t>
        </is>
      </c>
      <c r="B99" s="6" t="inlineStr">
        <is>
          <t>mW with it out</t>
        </is>
      </c>
      <c r="C99" s="6" t="inlineStr">
        <is>
          <t>T</t>
        </is>
      </c>
      <c r="D99" s="6" t="inlineStr"/>
    </row>
    <row r="100">
      <c r="A100" s="22" t="inlineStr">
        <is>
          <t>mirror</t>
        </is>
      </c>
      <c r="B100" s="11">
        <f>IFERROR(Power!J58,"")</f>
        <v/>
      </c>
      <c r="C100" s="24">
        <f>IFERROR(Power!J55/Power!J58,"")</f>
        <v/>
      </c>
    </row>
    <row r="101">
      <c r="A101" s="22" t="inlineStr">
        <is>
          <t>multiband</t>
        </is>
      </c>
      <c r="B101" s="11">
        <f>IFERROR(Power!J59,"")</f>
        <v/>
      </c>
      <c r="C101" s="24">
        <f>IFERROR(Power!J55/Power!J59,"")</f>
        <v/>
      </c>
    </row>
    <row r="102">
      <c r="A102" s="22" t="inlineStr">
        <is>
          <t>IR</t>
        </is>
      </c>
      <c r="B102" s="11">
        <f>IFERROR(Power!J60,"")</f>
        <v/>
      </c>
      <c r="C102" s="24">
        <f>IFERROR(Power!J55/Power!J60,"")</f>
        <v/>
      </c>
    </row>
    <row r="104">
      <c r="A104" s="4" t="inlineStr">
        <is>
          <t>Cross-check: does the product hold?</t>
        </is>
      </c>
      <c r="F104" s="5" t="inlineStr">
        <is>
          <t>If agreement departs from 1.00, the 13-row reduction is void.</t>
        </is>
      </c>
    </row>
    <row r="105">
      <c r="A105" s="6" t="inlineStr">
        <is>
          <t>Case</t>
        </is>
      </c>
      <c r="B105" s="6" t="inlineStr">
        <is>
          <t>Predicted mW</t>
        </is>
      </c>
      <c r="C105" s="6" t="inlineStr">
        <is>
          <t>Measured mW</t>
        </is>
      </c>
      <c r="D105" s="6" t="inlineStr">
        <is>
          <t>Agreement</t>
        </is>
      </c>
    </row>
    <row r="106">
      <c r="A106" s="22" t="inlineStr">
        <is>
          <t>mirror + multiband out</t>
        </is>
      </c>
      <c r="B106" s="11">
        <f>IFERROR(Power!J55/(C100*C101),"")</f>
        <v/>
      </c>
      <c r="C106" s="11">
        <f>IFERROR(Power!J61,"")</f>
        <v/>
      </c>
      <c r="D106" s="24">
        <f>IFERROR(Power!J61/(Power!J55/(C100*C101)),"")</f>
        <v/>
      </c>
    </row>
    <row r="107">
      <c r="A107" s="22" t="inlineStr">
        <is>
          <t>all three out</t>
        </is>
      </c>
      <c r="B107" s="11">
        <f>IFERROR(Power!J55/(C100*C101*C102),"")</f>
        <v/>
      </c>
      <c r="C107" s="11">
        <f>IFERROR(Power!J62,"")</f>
        <v/>
      </c>
      <c r="D107" s="24">
        <f>IFERROR(Power!J62/(Power!J55/(C100*C101*C102)),"")</f>
        <v/>
      </c>
    </row>
    <row r="109">
      <c r="A109" s="4" t="inlineStr">
        <is>
          <t>Per objective, and the number the gates actually eat</t>
        </is>
      </c>
    </row>
    <row r="110">
      <c r="A110" s="6" t="inlineStr">
        <is>
          <t>Objective</t>
        </is>
      </c>
      <c r="B110" s="6" t="inlineStr">
        <is>
          <t>mW @100%</t>
        </is>
      </c>
      <c r="C110" s="6" t="inlineStr">
        <is>
          <t>vs 20x</t>
        </is>
      </c>
      <c r="D110" s="6" t="inlineStr">
        <is>
          <t>Area (cm^2)</t>
        </is>
      </c>
      <c r="E110" s="6" t="inlineStr">
        <is>
          <t>Irradiance (W/cm^2)</t>
        </is>
      </c>
    </row>
    <row r="111">
      <c r="A111" s="22" t="inlineStr">
        <is>
          <t>4x</t>
        </is>
      </c>
      <c r="B111" s="11">
        <f>IFERROR(Power!J56,"")</f>
        <v/>
      </c>
      <c r="C111" s="24">
        <f>IFERROR(Power!J56/Power!J55,"")</f>
        <v/>
      </c>
      <c r="D111" s="21">
        <f>IFERROR(Area!G6,"")</f>
        <v/>
      </c>
      <c r="E111" s="24">
        <f>IFERROR((Power!J56/1000)/Area!G6,"")</f>
        <v/>
      </c>
    </row>
    <row r="112">
      <c r="A112" s="22" t="inlineStr">
        <is>
          <t>10x</t>
        </is>
      </c>
      <c r="B112" s="11">
        <f>IFERROR(Power!J57,"")</f>
        <v/>
      </c>
      <c r="C112" s="24">
        <f>IFERROR(Power!J57/Power!J55,"")</f>
        <v/>
      </c>
      <c r="D112" s="21">
        <f>IFERROR(Area!G7,"")</f>
        <v/>
      </c>
      <c r="E112" s="24">
        <f>IFERROR((Power!J57/1000)/Area!G7,"")</f>
        <v/>
      </c>
    </row>
    <row r="113">
      <c r="A113" s="22" t="inlineStr">
        <is>
          <t>20x</t>
        </is>
      </c>
      <c r="B113" s="11">
        <f>IFERROR(Power!J55,"")</f>
        <v/>
      </c>
      <c r="C113" s="24">
        <f>IFERROR(Power!J55/Power!J55,"")</f>
        <v/>
      </c>
      <c r="D113" s="21">
        <f>IFERROR(Area!G8,"")</f>
        <v/>
      </c>
      <c r="E113" s="24">
        <f>IFERROR((Power!J55/1000)/Area!G8,"")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2026-09-09T17:49:59Z</dcterms:created>
  <dcterms:modified xsi:type="dcterms:W3CDTF">2026-09-09T17:49:59Z</dcterms:modified>
</cp:coreProperties>
</file>